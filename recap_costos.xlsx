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s Primas" sheetId="1" state="visible" r:id="rId3"/>
    <sheet name="Recetas y Márgenes" sheetId="2" state="visible" r:id="rId4"/>
    <sheet name="Gastos Fijos" sheetId="3" state="visible" r:id="rId5"/>
    <sheet name="Precios y Proveedores" sheetId="4" state="visible" r:id="rId6"/>
    <sheet name="Proyección Semanal" sheetId="5" state="visible" r:id="rId7"/>
    <sheet name="Sticker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<sst xmlns="http://schemas.openxmlformats.org/spreadsheetml/2006/main" count="857" uniqueCount="401">
  <si>
    <t xml:space="preserve">📦 MATERIAS PRIMAS</t>
  </si>
  <si>
    <t xml:space="preserve">Insumo</t>
  </si>
  <si>
    <t xml:space="preserve">Presentación</t>
  </si>
  <si>
    <t xml:space="preserve">Precio ($)</t>
  </si>
  <si>
    <t xml:space="preserve">Unidad</t>
  </si>
  <si>
    <t xml:space="preserve">Precio/g o u ($)</t>
  </si>
  <si>
    <t xml:space="preserve">🌾 HARINAS Y BASES</t>
  </si>
  <si>
    <t xml:space="preserve">Premezcla (casera)</t>
  </si>
  <si>
    <t xml:space="preserve">casera/5kg</t>
  </si>
  <si>
    <t xml:space="preserve">g</t>
  </si>
  <si>
    <t xml:space="preserve">Premezcla Integral</t>
  </si>
  <si>
    <t xml:space="preserve">x kg</t>
  </si>
  <si>
    <t xml:space="preserve">Almidón/Harina de Mandioca</t>
  </si>
  <si>
    <t xml:space="preserve">x 10kg</t>
  </si>
  <si>
    <t xml:space="preserve">Almidón de Maíz</t>
  </si>
  <si>
    <t xml:space="preserve">Harina de Arroz</t>
  </si>
  <si>
    <t xml:space="preserve">x 25kg</t>
  </si>
  <si>
    <t xml:space="preserve">Harina de Almendras</t>
  </si>
  <si>
    <t xml:space="preserve">Harina de Coco</t>
  </si>
  <si>
    <t xml:space="preserve">Goma Xántica</t>
  </si>
  <si>
    <t xml:space="preserve">Polenta (Harina de Maíz)</t>
  </si>
  <si>
    <t xml:space="preserve">x 730g</t>
  </si>
  <si>
    <t xml:space="preserve">Puré de Papas Maggi</t>
  </si>
  <si>
    <t xml:space="preserve">x 200g</t>
  </si>
  <si>
    <t xml:space="preserve">🥛 LÁCTEOS Y HUEVOS</t>
  </si>
  <si>
    <t xml:space="preserve">Manteca</t>
  </si>
  <si>
    <t xml:space="preserve">x 2,5kg</t>
  </si>
  <si>
    <t xml:space="preserve">Crema Ledevit</t>
  </si>
  <si>
    <t xml:space="preserve">x 4,7l</t>
  </si>
  <si>
    <t xml:space="preserve">ml</t>
  </si>
  <si>
    <t xml:space="preserve">Queso Tybo</t>
  </si>
  <si>
    <t xml:space="preserve">Queso Mantecoso</t>
  </si>
  <si>
    <t xml:space="preserve">Queso Cremoso</t>
  </si>
  <si>
    <t xml:space="preserve">Huevos</t>
  </si>
  <si>
    <t xml:space="preserve">x 30 u</t>
  </si>
  <si>
    <t xml:space="preserve">u</t>
  </si>
  <si>
    <t xml:space="preserve">🍬 AZÚCARES Y ENDULZANTES</t>
  </si>
  <si>
    <t xml:space="preserve">Azúcar</t>
  </si>
  <si>
    <t xml:space="preserve">Azúcar Mascabo</t>
  </si>
  <si>
    <t xml:space="preserve">Sacarina</t>
  </si>
  <si>
    <t xml:space="preserve">x sobre</t>
  </si>
  <si>
    <t xml:space="preserve">Merengue en Polvo</t>
  </si>
  <si>
    <t xml:space="preserve">🍫 CHOCOLATES Y COBERTURAS</t>
  </si>
  <si>
    <t xml:space="preserve">Chocolate Semiamargo Coverlux</t>
  </si>
  <si>
    <t xml:space="preserve">x 800g</t>
  </si>
  <si>
    <t xml:space="preserve">Chocolate s/azúcar</t>
  </si>
  <si>
    <t xml:space="preserve">🍯 RELLENOS Y CONSERVAS</t>
  </si>
  <si>
    <t xml:space="preserve">Dulce de Leche</t>
  </si>
  <si>
    <t xml:space="preserve">Dulce de Leche s/azúcar</t>
  </si>
  <si>
    <t xml:space="preserve">x 3kg</t>
  </si>
  <si>
    <t xml:space="preserve">Membrillo</t>
  </si>
  <si>
    <t xml:space="preserve">x 5kg</t>
  </si>
  <si>
    <t xml:space="preserve">Membrillo s/azúcar</t>
  </si>
  <si>
    <t xml:space="preserve">Duraznos en lata</t>
  </si>
  <si>
    <t xml:space="preserve">x lata</t>
  </si>
  <si>
    <t xml:space="preserve">🍗 PROTEÍNAS</t>
  </si>
  <si>
    <t xml:space="preserve">Pollo</t>
  </si>
  <si>
    <t xml:space="preserve">Jamón</t>
  </si>
  <si>
    <t xml:space="preserve">🧂 ACEITES, CONDIMENTOS Y VARIOS</t>
  </si>
  <si>
    <t xml:space="preserve">Aceite</t>
  </si>
  <si>
    <t xml:space="preserve">x 1,5l</t>
  </si>
  <si>
    <t xml:space="preserve">Levadura</t>
  </si>
  <si>
    <t xml:space="preserve">x 500g</t>
  </si>
  <si>
    <t xml:space="preserve">Polvo de Hornear</t>
  </si>
  <si>
    <t xml:space="preserve">Esencia de Vainilla</t>
  </si>
  <si>
    <t xml:space="preserve">x 2l</t>
  </si>
  <si>
    <t xml:space="preserve">Coco Rallado</t>
  </si>
  <si>
    <t xml:space="preserve">Puré de Tomate</t>
  </si>
  <si>
    <t xml:space="preserve">x 520g</t>
  </si>
  <si>
    <t xml:space="preserve">Vinagre de Manzana</t>
  </si>
  <si>
    <t xml:space="preserve">x u</t>
  </si>
  <si>
    <t xml:space="preserve">Jugo Limón Minerva</t>
  </si>
  <si>
    <t xml:space="preserve">x 1l</t>
  </si>
  <si>
    <t xml:space="preserve">Salsa Dos Anclas Caramelo</t>
  </si>
  <si>
    <t xml:space="preserve">x 310g</t>
  </si>
  <si>
    <t xml:space="preserve">Salsa Dos Anclas Chocolate</t>
  </si>
  <si>
    <t xml:space="preserve">Oreo S/G</t>
  </si>
  <si>
    <t xml:space="preserve">x 10 u</t>
  </si>
  <si>
    <t xml:space="preserve">📦 PACKAGING Y CONSUMIBLES</t>
  </si>
  <si>
    <t xml:space="preserve">Rollo Aluminio</t>
  </si>
  <si>
    <t xml:space="preserve">1 rollo/240u</t>
  </si>
  <si>
    <t xml:space="preserve">Caja Plástica 1500cc</t>
  </si>
  <si>
    <t xml:space="preserve">Bandeja N°13 Cartón</t>
  </si>
  <si>
    <t xml:space="preserve">Cartón para Torta</t>
  </si>
  <si>
    <t xml:space="preserve">Bolsa Camiseta</t>
  </si>
  <si>
    <t xml:space="preserve">Vaso Térmico</t>
  </si>
  <si>
    <t xml:space="preserve">Papel Manteca</t>
  </si>
  <si>
    <t xml:space="preserve">x rollo</t>
  </si>
  <si>
    <t xml:space="preserve">Ricota</t>
  </si>
  <si>
    <t xml:space="preserve">x 250g</t>
  </si>
  <si>
    <t xml:space="preserve">Acelga (2 atados)</t>
  </si>
  <si>
    <t xml:space="preserve">x 2 atados</t>
  </si>
  <si>
    <t xml:space="preserve">RECETAS — COSTOS DINÁMICOS VINCULADOS A MATERIAS PRIMAS</t>
  </si>
  <si>
    <t xml:space="preserve">Ingrediente</t>
  </si>
  <si>
    <t xml:space="preserve">Cantidad</t>
  </si>
  <si>
    <t xml:space="preserve">Precio/g o u</t>
  </si>
  <si>
    <t xml:space="preserve">Costo ($)</t>
  </si>
  <si>
    <t xml:space="preserve">Costo x Unidad</t>
  </si>
  <si>
    <t xml:space="preserve">Precio Venta</t>
  </si>
  <si>
    <t xml:space="preserve">Margen Bruto</t>
  </si>
  <si>
    <t xml:space="preserve">🍞 PAN DE MOLDE — 4 unidades</t>
  </si>
  <si>
    <t xml:space="preserve">Premezcla</t>
  </si>
  <si>
    <t xml:space="preserve">1.700g</t>
  </si>
  <si>
    <t xml:space="preserve">140g</t>
  </si>
  <si>
    <t xml:space="preserve">100g</t>
  </si>
  <si>
    <t xml:space="preserve">100ml</t>
  </si>
  <si>
    <t xml:space="preserve">6 u</t>
  </si>
  <si>
    <t xml:space="preserve">✅ PAN DE MOLDE</t>
  </si>
  <si>
    <t xml:space="preserve">🥧 TARTAS DE ALMENDRAS S/A — 20 unidades</t>
  </si>
  <si>
    <t xml:space="preserve">200g</t>
  </si>
  <si>
    <t xml:space="preserve">50g</t>
  </si>
  <si>
    <t xml:space="preserve">Huevo</t>
  </si>
  <si>
    <t xml:space="preserve">1 u</t>
  </si>
  <si>
    <t xml:space="preserve">6 sobres</t>
  </si>
  <si>
    <t xml:space="preserve">10ml</t>
  </si>
  <si>
    <t xml:space="preserve">✅ TARTAS ALMENDRAS S/A</t>
  </si>
  <si>
    <t xml:space="preserve">🥧 TARTAS SALADAS — 2 unidades</t>
  </si>
  <si>
    <t xml:space="preserve">280g</t>
  </si>
  <si>
    <t xml:space="preserve">Huevo (masa)</t>
  </si>
  <si>
    <t xml:space="preserve">20ml</t>
  </si>
  <si>
    <t xml:space="preserve">30g</t>
  </si>
  <si>
    <t xml:space="preserve">Huevos relleno</t>
  </si>
  <si>
    <t xml:space="preserve">2 u</t>
  </si>
  <si>
    <t xml:space="preserve">Relleno calabaza/acelga</t>
  </si>
  <si>
    <t xml:space="preserve">prop.</t>
  </si>
  <si>
    <t xml:space="preserve">✅ TARTAS SALADAS</t>
  </si>
  <si>
    <t xml:space="preserve">🥟 EMPANADAS DE VERDURA — 12 unidades</t>
  </si>
  <si>
    <t xml:space="preserve">Tapas de empanada</t>
  </si>
  <si>
    <t xml:space="preserve">12 u</t>
  </si>
  <si>
    <t xml:space="preserve">Acelga (50% del rinde)</t>
  </si>
  <si>
    <t xml:space="preserve">1/2</t>
  </si>
  <si>
    <t xml:space="preserve">15g</t>
  </si>
  <si>
    <t xml:space="preserve">Cebolla</t>
  </si>
  <si>
    <t xml:space="preserve">1/2 u</t>
  </si>
  <si>
    <t xml:space="preserve">✅ EMPANADAS</t>
  </si>
  <si>
    <t xml:space="preserve">🍕 PREPIZZA — 10 unidades</t>
  </si>
  <si>
    <t xml:space="preserve">Puré de tomate (50%)</t>
  </si>
  <si>
    <t xml:space="preserve">Orégano/provenzal/sal</t>
  </si>
  <si>
    <t xml:space="preserve">lote</t>
  </si>
  <si>
    <t xml:space="preserve">✅ PREPIZZA</t>
  </si>
  <si>
    <t xml:space="preserve">🍕 PIZZA COMPLETA — 1 unidad</t>
  </si>
  <si>
    <t xml:space="preserve">Prepizza (costo din.)</t>
  </si>
  <si>
    <t xml:space="preserve">—</t>
  </si>
  <si>
    <t xml:space="preserve">250g</t>
  </si>
  <si>
    <t xml:space="preserve">Caja packaging</t>
  </si>
  <si>
    <t xml:space="preserve">✅ PIZZA COMPLETA</t>
  </si>
  <si>
    <t xml:space="preserve">🍪 MASA CRUMBL — 7 unidades</t>
  </si>
  <si>
    <t xml:space="preserve">70g</t>
  </si>
  <si>
    <t xml:space="preserve">3g</t>
  </si>
  <si>
    <t xml:space="preserve">✅ MASA CRUMBL</t>
  </si>
  <si>
    <t xml:space="preserve">Sin precio</t>
  </si>
  <si>
    <t xml:space="preserve">🍪 COOKIE CRUMBL OREO S/G — 1 unidad</t>
  </si>
  <si>
    <t xml:space="preserve">Masa Crumbl (1/7)</t>
  </si>
  <si>
    <t xml:space="preserve">10g</t>
  </si>
  <si>
    <t xml:space="preserve">Bolsita packaging</t>
  </si>
  <si>
    <t xml:space="preserve">✅ COOKIE CRUMBL OREO</t>
  </si>
  <si>
    <t xml:space="preserve">🍫 BROWNIE — 4 porciones / 1 tortera 16cm</t>
  </si>
  <si>
    <t xml:space="preserve">380g</t>
  </si>
  <si>
    <t xml:space="preserve">125g</t>
  </si>
  <si>
    <t xml:space="preserve">55g</t>
  </si>
  <si>
    <t xml:space="preserve">Chocolate Semiamargo (Coverlux)</t>
  </si>
  <si>
    <t xml:space="preserve">85g</t>
  </si>
  <si>
    <t xml:space="preserve">1/240</t>
  </si>
  <si>
    <t xml:space="preserve">✅ BROWNIE — Porción x4</t>
  </si>
  <si>
    <t xml:space="preserve">✅ BROWNIE — Tortera 16cm</t>
  </si>
  <si>
    <t xml:space="preserve">🥐 MASA SABLÉE — 10 unidades (~45g c/u)</t>
  </si>
  <si>
    <t xml:space="preserve">✅ MASA SABLÉE</t>
  </si>
  <si>
    <t xml:space="preserve">🥧 PASTAFROLA — 1 unidad</t>
  </si>
  <si>
    <t xml:space="preserve">Masa Sablée (60g/450g)</t>
  </si>
  <si>
    <t xml:space="preserve">60g</t>
  </si>
  <si>
    <t xml:space="preserve">Dulce de Membrillo</t>
  </si>
  <si>
    <t xml:space="preserve">25g</t>
  </si>
  <si>
    <t xml:space="preserve">✅ PASTAFROLA</t>
  </si>
  <si>
    <t xml:space="preserve">🍫 CABSHA — 1 unidad</t>
  </si>
  <si>
    <t xml:space="preserve">Masa Sablée (45g/450g)</t>
  </si>
  <si>
    <t xml:space="preserve">45g</t>
  </si>
  <si>
    <t xml:space="preserve">20g</t>
  </si>
  <si>
    <t xml:space="preserve">✅ CABSHA</t>
  </si>
  <si>
    <t xml:space="preserve">🫓 CHIPA — 250g (venta x 100g = $1.500)</t>
  </si>
  <si>
    <t xml:space="preserve">Harina de Mandioca</t>
  </si>
  <si>
    <t xml:space="preserve">80g</t>
  </si>
  <si>
    <t xml:space="preserve">Sal</t>
  </si>
  <si>
    <t xml:space="preserve">✅ CHIPA (x 100g)</t>
  </si>
  <si>
    <t xml:space="preserve">🎂 BIZCOCHUELO (base torta) — 1 unidad 650g</t>
  </si>
  <si>
    <t xml:space="preserve">5 u</t>
  </si>
  <si>
    <t xml:space="preserve">✅ BIZCOCHUELO</t>
  </si>
  <si>
    <t xml:space="preserve">🎂 TORTA 2KG (relleno + cobertura) — 1 unidad</t>
  </si>
  <si>
    <t xml:space="preserve">Bizcochuelo (costo din.)</t>
  </si>
  <si>
    <t xml:space="preserve">500g</t>
  </si>
  <si>
    <t xml:space="preserve">Crema Ledevit (relleno)</t>
  </si>
  <si>
    <t xml:space="preserve">Crema Ledevit (cobertura)</t>
  </si>
  <si>
    <t xml:space="preserve">600g</t>
  </si>
  <si>
    <t xml:space="preserve">✅ TORTA 2KG</t>
  </si>
  <si>
    <t xml:space="preserve">🍬 AZÚCAR IMPALPABLE (cobertura) — 2 unidades</t>
  </si>
  <si>
    <t xml:space="preserve">8g</t>
  </si>
  <si>
    <t xml:space="preserve">✅ AZÚCAR IMPALPABLE</t>
  </si>
  <si>
    <t xml:space="preserve">🍰 BUDÍN / ANILLO — MASA BASE — 1 unidad</t>
  </si>
  <si>
    <t xml:space="preserve">150g</t>
  </si>
  <si>
    <t xml:space="preserve">4 u</t>
  </si>
  <si>
    <t xml:space="preserve">5g</t>
  </si>
  <si>
    <t xml:space="preserve">Cobertura (50%)</t>
  </si>
  <si>
    <t xml:space="preserve">Merengue en polvo</t>
  </si>
  <si>
    <t xml:space="preserve">✅ BUDÍN/ANILLO — Entero</t>
  </si>
  <si>
    <t xml:space="preserve">✅ BUDÍN/ANILLO — Porción (1/6)</t>
  </si>
  <si>
    <t xml:space="preserve">🍪 ALFAJORES DE MAICENA — 30 unidades</t>
  </si>
  <si>
    <t xml:space="preserve">7 u</t>
  </si>
  <si>
    <t xml:space="preserve">450g (15g×30)</t>
  </si>
  <si>
    <t xml:space="preserve">150g (5g×30)</t>
  </si>
  <si>
    <t xml:space="preserve">✅ ALFAJORES DE MAICENA</t>
  </si>
  <si>
    <t xml:space="preserve">🍗 MILA DE POLLO — por 1kg de producto final (rinde 11,1kg por lote)</t>
  </si>
  <si>
    <t xml:space="preserve">8 kg</t>
  </si>
  <si>
    <t xml:space="preserve">Polenta (2x730g)</t>
  </si>
  <si>
    <t xml:space="preserve">1.460g</t>
  </si>
  <si>
    <t xml:space="preserve">Puré de Papas Maggi (2x200g)</t>
  </si>
  <si>
    <t xml:space="preserve">400g</t>
  </si>
  <si>
    <t xml:space="preserve">19 u</t>
  </si>
  <si>
    <t xml:space="preserve">Condimentos (sal/ajo/pimienta)</t>
  </si>
  <si>
    <t xml:space="preserve">Bolsa (packaging)</t>
  </si>
  <si>
    <t xml:space="preserve">✅ MILA DE POLLO (x 1kg)</t>
  </si>
  <si>
    <t xml:space="preserve">🫔 CANELONES — MASA BASE (20 tapas)</t>
  </si>
  <si>
    <t xml:space="preserve">60ml</t>
  </si>
  <si>
    <t xml:space="preserve">✅ MASA CANELONES (20 tapas)</t>
  </si>
  <si>
    <t xml:space="preserve">🫔 CANELONES DE JAMÓN Y QUESO — 21 unidades</t>
  </si>
  <si>
    <t xml:space="preserve">Tapas (21u)</t>
  </si>
  <si>
    <t xml:space="preserve">21 u</t>
  </si>
  <si>
    <t xml:space="preserve">350g</t>
  </si>
  <si>
    <t xml:space="preserve">Queso Tybo (relleno)</t>
  </si>
  <si>
    <t xml:space="preserve">233g</t>
  </si>
  <si>
    <t xml:space="preserve">583g</t>
  </si>
  <si>
    <t xml:space="preserve">117g</t>
  </si>
  <si>
    <t xml:space="preserve">  Base 21u</t>
  </si>
  <si>
    <t xml:space="preserve">↳ CONGELADOS — porción 3u</t>
  </si>
  <si>
    <t xml:space="preserve">Base J&amp;Q (15 canelones)</t>
  </si>
  <si>
    <t xml:space="preserve">15u</t>
  </si>
  <si>
    <t xml:space="preserve">Puré Tomate (1u/5 porc)</t>
  </si>
  <si>
    <t xml:space="preserve">Queso Tybo (20g×5)</t>
  </si>
  <si>
    <t xml:space="preserve">Caja 1500cc (5u)</t>
  </si>
  <si>
    <t xml:space="preserve">↳ LISTOS P/COMER — porción 3u</t>
  </si>
  <si>
    <t xml:space="preserve">🥬 CANELONES DE VERDURA — 21 unidades</t>
  </si>
  <si>
    <t xml:space="preserve">Base Verdura (15 can.)</t>
  </si>
  <si>
    <t xml:space="preserve">🍔 PAN DE HAMBURGUESA — 24 unidades (6 packs de 4)</t>
  </si>
  <si>
    <t xml:space="preserve">700g</t>
  </si>
  <si>
    <t xml:space="preserve">35g</t>
  </si>
  <si>
    <t xml:space="preserve">Vinagre</t>
  </si>
  <si>
    <t xml:space="preserve">70ml</t>
  </si>
  <si>
    <t xml:space="preserve">✅ PAN DE HAMBURGUESA (x pack 4u)</t>
  </si>
  <si>
    <t xml:space="preserve">🧁 BUDÍN DE ALMENDRA KETO — 6 unidades</t>
  </si>
  <si>
    <t xml:space="preserve">170g</t>
  </si>
  <si>
    <t xml:space="preserve">15ml</t>
  </si>
  <si>
    <t xml:space="preserve">110g</t>
  </si>
  <si>
    <t xml:space="preserve">Yogur Natural</t>
  </si>
  <si>
    <t xml:space="preserve">✅ BUDÍN ALMENDRA KETO (x unidad)</t>
  </si>
  <si>
    <t xml:space="preserve">💼 GASTOS FIJOS — SEMANAL Y MENSUAL</t>
  </si>
  <si>
    <t xml:space="preserve">Editá las celdas en AMARILLO para actualizar los gastos. Los valores en azul se calculan automáticamente.</t>
  </si>
  <si>
    <t xml:space="preserve">Concepto</t>
  </si>
  <si>
    <t xml:space="preserve">Frecuencia</t>
  </si>
  <si>
    <t xml:space="preserve">Monto ($)</t>
  </si>
  <si>
    <t xml:space="preserve">Semanal ($)</t>
  </si>
  <si>
    <t xml:space="preserve">Mensual ($)</t>
  </si>
  <si>
    <t xml:space="preserve">👷 PERSONAL</t>
  </si>
  <si>
    <t xml:space="preserve">Empleado</t>
  </si>
  <si>
    <t xml:space="preserve">15.000/día x 5 días</t>
  </si>
  <si>
    <t xml:space="preserve">Subtotal Personal</t>
  </si>
  <si>
    <t xml:space="preserve">🧴 CONSUMIBLES (uso general)</t>
  </si>
  <si>
    <t xml:space="preserve">Rocío Vegetal Natura 200ml</t>
  </si>
  <si>
    <t xml:space="preserve">16u/mes (8u cada 15 días)</t>
  </si>
  <si>
    <t xml:space="preserve">Subtotal Consumibles</t>
  </si>
  <si>
    <t xml:space="preserve">💡 SERVICIOS (mensuales)</t>
  </si>
  <si>
    <t xml:space="preserve">Electricidad</t>
  </si>
  <si>
    <t xml:space="preserve">Mensual</t>
  </si>
  <si>
    <t xml:space="preserve">Gas</t>
  </si>
  <si>
    <t xml:space="preserve">Agua</t>
  </si>
  <si>
    <t xml:space="preserve">Subtotal Servicios</t>
  </si>
  <si>
    <t xml:space="preserve">📦 TOTAL GASTOS FIJOS</t>
  </si>
  <si>
    <t xml:space="preserve">📊 RESUMEN: GANANCIA NETA (ventas - costos - gastos)</t>
  </si>
  <si>
    <t xml:space="preserve">💰 Ingreso semanal (ventas)</t>
  </si>
  <si>
    <t xml:space="preserve">💸 Costo semanal (ingredientes)</t>
  </si>
  <si>
    <t xml:space="preserve">🔧 Gastos fijos semanales</t>
  </si>
  <si>
    <t xml:space="preserve">📈 Ganancia bruta semanal</t>
  </si>
  <si>
    <t xml:space="preserve">✅ GANANCIA NETA SEMANAL</t>
  </si>
  <si>
    <t xml:space="preserve">📅 Ganancia neta mensual (x4)</t>
  </si>
  <si>
    <t xml:space="preserve">📊 Margen neto semanal</t>
  </si>
  <si>
    <t xml:space="preserve">⚡ Tip: Modificá las celdas en AMARILLO para simular cambios en gastos o salarios.</t>
  </si>
  <si>
    <t xml:space="preserve">📈 SEGUIMIENTO DE PRECIOS Y PROVEEDORES</t>
  </si>
  <si>
    <t xml:space="preserve">Registrá cada cambio de precio con fecha. El Excel calcula automáticamente la variación y te muestra el mejor proveedor actual.</t>
  </si>
  <si>
    <t xml:space="preserve">📋 SECCIÓN 1 — HISTORIAL DE PRECIOS (completar cada vez que cambia el precio)</t>
  </si>
  <si>
    <t xml:space="preserve">Proveedor</t>
  </si>
  <si>
    <t xml:space="preserve">Fecha</t>
  </si>
  <si>
    <t xml:space="preserve">Precio/g ($)</t>
  </si>
  <si>
    <t xml:space="preserve">Var. vs anterior</t>
  </si>
  <si>
    <t xml:space="preserve">Var. %</t>
  </si>
  <si>
    <t xml:space="preserve">Nota</t>
  </si>
  <si>
    <t xml:space="preserve">Frenart</t>
  </si>
  <si>
    <t xml:space="preserve">28/02/2026</t>
  </si>
  <si>
    <t xml:space="preserve">10 kg</t>
  </si>
  <si>
    <t xml:space="preserve">Ticket 28/02/2026</t>
  </si>
  <si>
    <t xml:space="preserve">Proveedor anterior</t>
  </si>
  <si>
    <t xml:space="preserve">Precio anterior</t>
  </si>
  <si>
    <t xml:space="preserve">Ticket 26/02/2026</t>
  </si>
  <si>
    <t xml:space="preserve">25 kg</t>
  </si>
  <si>
    <t xml:space="preserve">Precio base</t>
  </si>
  <si>
    <t xml:space="preserve">1 kg</t>
  </si>
  <si>
    <t xml:space="preserve">Chocolate Semiamargo</t>
  </si>
  <si>
    <t xml:space="preserve">Coverlux</t>
  </si>
  <si>
    <t xml:space="preserve">800 g</t>
  </si>
  <si>
    <t xml:space="preserve">2,5 kg</t>
  </si>
  <si>
    <t xml:space="preserve">Ledevit</t>
  </si>
  <si>
    <t xml:space="preserve">4,7 l</t>
  </si>
  <si>
    <t xml:space="preserve">🏆 SECCIÓN 2 — COMPARATIVA DE PROVEEDORES (mismo insumo, distintos precios)</t>
  </si>
  <si>
    <t xml:space="preserve">Proveedor 1
Precio ($)</t>
  </si>
  <si>
    <t xml:space="preserve">Proveedor 2
Precio ($)</t>
  </si>
  <si>
    <t xml:space="preserve">Proveedor 3
Precio ($)</t>
  </si>
  <si>
    <t xml:space="preserve">✅ Más barato</t>
  </si>
  <si>
    <t xml:space="preserve">💰 Ahorro vs actual ($)</t>
  </si>
  <si>
    <t xml:space="preserve">Ahorro %</t>
  </si>
  <si>
    <t xml:space="preserve">Acción</t>
  </si>
  <si>
    <t xml:space="preserve">📒 SECCIÓN 3 — DIRECTORIO DE PROVEEDORES</t>
  </si>
  <si>
    <t xml:space="preserve">Insumos que vende</t>
  </si>
  <si>
    <t xml:space="preserve">Contacto / Tel</t>
  </si>
  <si>
    <t xml:space="preserve">Zona / Dirección</t>
  </si>
  <si>
    <t xml:space="preserve">Forma de pago</t>
  </si>
  <si>
    <t xml:space="preserve">Entrega</t>
  </si>
  <si>
    <t xml:space="preserve">Calificación (1-5)</t>
  </si>
  <si>
    <t xml:space="preserve">Última compra</t>
  </si>
  <si>
    <t xml:space="preserve">Notas</t>
  </si>
  <si>
    <t xml:space="preserve">Almidón/Harina de Mandioca, Chocolate Semiamargo Coverlux</t>
  </si>
  <si>
    <t xml:space="preserve">Pellegrini 473, La Banda</t>
  </si>
  <si>
    <t xml:space="preserve">Contado</t>
  </si>
  <si>
    <t xml:space="preserve">Retiro</t>
  </si>
  <si>
    <t xml:space="preserve">⭐⭐⭐⭐</t>
  </si>
  <si>
    <t xml:space="preserve">Proveedor actual mandioca y chocolate. Ticket 28/02/2026</t>
  </si>
  <si>
    <t xml:space="preserve">Crema de leche</t>
  </si>
  <si>
    <t xml:space="preserve">Proveedor actual crema</t>
  </si>
  <si>
    <t xml:space="preserve">Distribuidora VIDT S.R.L.</t>
  </si>
  <si>
    <t xml:space="preserve">Jamón / Fiambres, Lácteos (manteca, quesos, crema)</t>
  </si>
  <si>
    <t xml:space="preserve">Aristóbulo del Valle 466, La Banda</t>
  </si>
  <si>
    <t xml:space="preserve">Débito / Contado</t>
  </si>
  <si>
    <t xml:space="preserve">Lácteos a buenos precios. Descuento mayorista aplicado.</t>
  </si>
  <si>
    <t xml:space="preserve">Ridolfo Hnos.</t>
  </si>
  <si>
    <t xml:space="preserve">Almidón de Maíz, Chocolates (proveedor anterior)</t>
  </si>
  <si>
    <t xml:space="preserve">(0385) 427-1180 / 427-1515</t>
  </si>
  <si>
    <t xml:space="preserve">Pellegrini 799, La Banda</t>
  </si>
  <si>
    <t xml:space="preserve">Proveedor anterior para almidón y chocolates. Comparar precios.</t>
  </si>
  <si>
    <t xml:space="preserve">Lactiband S.A.</t>
  </si>
  <si>
    <t xml:space="preserve">Lácteos (manteca, quesos, crema) — a consultar</t>
  </si>
  <si>
    <t xml:space="preserve">(0385) 427-2700</t>
  </si>
  <si>
    <t xml:space="preserve">Av. Besares Sur 1087, La Banda</t>
  </si>
  <si>
    <t xml:space="preserve">Especialista en lácteos. Potencial alternativa a VIDT. Consultar precios.</t>
  </si>
  <si>
    <t xml:space="preserve">⚡ Tip: Completá la Sección 2 con precios de otros proveedores para ver automáticamente cuánto podés ahorrar.</t>
  </si>
  <si>
    <t xml:space="preserve">📊 PROYECCIÓN SEMANAL DE VENTAS</t>
  </si>
  <si>
    <t xml:space="preserve">Celdas AMARILLAS = editables. Costos vinculados dinámicamente a Materias Primas.</t>
  </si>
  <si>
    <t xml:space="preserve">Producto</t>
  </si>
  <si>
    <t xml:space="preserve">Unidades
Semanales</t>
  </si>
  <si>
    <t xml:space="preserve">Costo x Unidad ($)</t>
  </si>
  <si>
    <t xml:space="preserve">Costo Total ($)</t>
  </si>
  <si>
    <t xml:space="preserve">Precio Venta ($)</t>
  </si>
  <si>
    <t xml:space="preserve">Ingreso Total ($)</t>
  </si>
  <si>
    <t xml:space="preserve">Ganancia Bruta ($)</t>
  </si>
  <si>
    <t xml:space="preserve">Margen (%)</t>
  </si>
  <si>
    <t xml:space="preserve">🍕 Prepizza</t>
  </si>
  <si>
    <t xml:space="preserve">🍫 Cabsha</t>
  </si>
  <si>
    <t xml:space="preserve">🥧 Pastafrola</t>
  </si>
  <si>
    <t xml:space="preserve">🍪 Cookie Crumbl Oreo</t>
  </si>
  <si>
    <t xml:space="preserve">🍫 Brownie (porción)</t>
  </si>
  <si>
    <t xml:space="preserve">🍰 Budín (porción)</t>
  </si>
  <si>
    <t xml:space="preserve">🍞 Pan de Molde</t>
  </si>
  <si>
    <t xml:space="preserve">🥟 Empanadas</t>
  </si>
  <si>
    <t xml:space="preserve">🥧 Tartas Saladas</t>
  </si>
  <si>
    <t xml:space="preserve">🥧 Tartas de Almendras</t>
  </si>
  <si>
    <t xml:space="preserve">🫓 Chipa (x100g)</t>
  </si>
  <si>
    <t xml:space="preserve">🎂 Torta 2kg</t>
  </si>
  <si>
    <t xml:space="preserve">🍪 Alfajores de Maicena</t>
  </si>
  <si>
    <t xml:space="preserve">🍗 Mila de Pollo (x kg)</t>
  </si>
  <si>
    <t xml:space="preserve">🫔 Canelones J&amp;Q (porc. 3u)</t>
  </si>
  <si>
    <t xml:space="preserve">🥬 Canelones Verdura (porc. 3u)</t>
  </si>
  <si>
    <t xml:space="preserve">🍔 Pan de Hamburguesa (pack 4u)</t>
  </si>
  <si>
    <t xml:space="preserve">📦 TOTALES SEMANALES</t>
  </si>
  <si>
    <t xml:space="preserve">📈 RESUMEN DE KPIs</t>
  </si>
  <si>
    <t xml:space="preserve">💰 Ingreso semanal total</t>
  </si>
  <si>
    <t xml:space="preserve">💸 Costo semanal total</t>
  </si>
  <si>
    <t xml:space="preserve">📊 Margen bruto promedio</t>
  </si>
  <si>
    <t xml:space="preserve">📅 Proyección mensual (x4)</t>
  </si>
  <si>
    <t xml:space="preserve">📅 Proyección anual (x52)</t>
  </si>
  <si>
    <t xml:space="preserve">💼 GANANCIA NETA (descontando gastos fijos)</t>
  </si>
  <si>
    <t xml:space="preserve">✅ Ganancia bruta semanal</t>
  </si>
  <si>
    <t xml:space="preserve">💼 Gastos fijos semanales</t>
  </si>
  <si>
    <t xml:space="preserve">🏆 GANANCIA NETA SEMANAL</t>
  </si>
  <si>
    <t xml:space="preserve">📅 Ganancia neta mensual</t>
  </si>
  <si>
    <t xml:space="preserve">⚡ Tip: Modificá las celdas en AMARILLO para simular distintos escenarios.</t>
  </si>
  <si>
    <t xml:space="preserve">COSTO DE STICKERS</t>
  </si>
  <si>
    <t xml:space="preserve">Sticker</t>
  </si>
  <si>
    <t xml:space="preserve">Costo Unitario ($)</t>
  </si>
  <si>
    <t xml:space="preserve">Sticker 1</t>
  </si>
  <si>
    <t xml:space="preserve">Sticker 2</t>
  </si>
  <si>
    <t xml:space="preserve">Sticker 3</t>
  </si>
  <si>
    <t xml:space="preserve">Sticker 4</t>
  </si>
  <si>
    <t xml:space="preserve">Sticker 5</t>
  </si>
  <si>
    <t xml:space="preserve">Sticker 6</t>
  </si>
  <si>
    <t xml:space="preserve">Sticker 7</t>
  </si>
  <si>
    <t xml:space="preserve">Sticker 8</t>
  </si>
  <si>
    <t xml:space="preserve">TOTAL: 293 unidades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</si>
</sst>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\$#,##0.000"/>
    <numFmt numFmtId="167" formatCode="0.0%"/>
    <numFmt numFmtId="168" formatCode="\$#,##0.000"/>
    <numFmt numFmtId="169" formatCode="\$#,##0.00"/>
    <numFmt numFmtId="170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1"/>
      <name val="Cambria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F3C"/>
        <bgColor rgb="FF1F3864"/>
      </patternFill>
    </fill>
    <fill>
      <patternFill patternType="solid">
        <fgColor rgb="FF1F3864"/>
        <bgColor rgb="FF333399"/>
      </patternFill>
    </fill>
    <fill>
      <patternFill patternType="solid">
        <fgColor rgb="FFBDD7EE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FFFFF"/>
        <bgColor rgb="FFFFFACD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ACD"/>
      </patternFill>
    </fill>
    <fill>
      <patternFill patternType="solid">
        <fgColor rgb="FFE2EFDA"/>
        <bgColor rgb="FFD9E1F2"/>
      </patternFill>
    </fill>
    <fill>
      <patternFill patternType="solid">
        <fgColor rgb="FFFFFACD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CE4D6"/>
        <bgColor rgb="FFFFF2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ACD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0D1F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6"/>
    <col collapsed="false" customWidth="true" hidden="false" outlineLevel="0" max="5" min="4" style="1" width="10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8" hidden="false" customHeight="true" outlineLevel="0" collapsed="false">
      <c r="A3" s="4" t="s">
        <v>6</v>
      </c>
      <c r="B3" s="4"/>
      <c r="C3" s="4"/>
      <c r="D3" s="4"/>
      <c r="E3" s="4"/>
    </row>
    <row r="4" customFormat="false" ht="15" hidden="false" customHeight="true" outlineLevel="0" collapsed="false">
      <c r="A4" s="5" t="s">
        <v>7</v>
      </c>
      <c r="B4" s="6" t="s">
        <v>8</v>
      </c>
      <c r="C4" s="7" t="n">
        <f aca="false">((C6/10000)*1500+(C8/25000)*1500+(C7/10000)*2000+(C11/1000)*50)/5.05</f>
        <v>1681.18811881188</v>
      </c>
      <c r="D4" s="6" t="s">
        <v>9</v>
      </c>
      <c r="E4" s="8" t="n">
        <f aca="false">C4/1000</f>
        <v>1.68118811881188</v>
      </c>
    </row>
    <row r="5" customFormat="false" ht="15" hidden="false" customHeight="true" outlineLevel="0" collapsed="false">
      <c r="A5" s="9" t="s">
        <v>10</v>
      </c>
      <c r="B5" s="10" t="s">
        <v>11</v>
      </c>
      <c r="C5" s="11" t="n">
        <v>4000</v>
      </c>
      <c r="D5" s="10" t="s">
        <v>9</v>
      </c>
      <c r="E5" s="12" t="n">
        <f aca="false">C5/1000</f>
        <v>4</v>
      </c>
    </row>
    <row r="6" customFormat="false" ht="15" hidden="false" customHeight="true" outlineLevel="0" collapsed="false">
      <c r="A6" s="5" t="s">
        <v>12</v>
      </c>
      <c r="B6" s="6" t="s">
        <v>13</v>
      </c>
      <c r="C6" s="7" t="n">
        <v>23100</v>
      </c>
      <c r="D6" s="6" t="s">
        <v>9</v>
      </c>
      <c r="E6" s="8" t="n">
        <f aca="false">C6/10000</f>
        <v>2.31</v>
      </c>
    </row>
    <row r="7" customFormat="false" ht="15" hidden="false" customHeight="true" outlineLevel="0" collapsed="false">
      <c r="A7" s="9" t="s">
        <v>14</v>
      </c>
      <c r="B7" s="10" t="s">
        <v>13</v>
      </c>
      <c r="C7" s="11" t="n">
        <v>14875</v>
      </c>
      <c r="D7" s="10" t="s">
        <v>9</v>
      </c>
      <c r="E7" s="12" t="n">
        <f aca="false">C7/10000</f>
        <v>1.4875</v>
      </c>
    </row>
    <row r="8" customFormat="false" ht="15" hidden="false" customHeight="true" outlineLevel="0" collapsed="false">
      <c r="A8" s="5" t="s">
        <v>15</v>
      </c>
      <c r="B8" s="6" t="s">
        <v>16</v>
      </c>
      <c r="C8" s="7" t="n">
        <v>25000</v>
      </c>
      <c r="D8" s="6" t="s">
        <v>9</v>
      </c>
      <c r="E8" s="8" t="n">
        <f aca="false">C8/25000</f>
        <v>1</v>
      </c>
    </row>
    <row r="9" customFormat="false" ht="15" hidden="false" customHeight="true" outlineLevel="0" collapsed="false">
      <c r="A9" s="9" t="s">
        <v>17</v>
      </c>
      <c r="B9" s="10" t="s">
        <v>11</v>
      </c>
      <c r="C9" s="11" t="n">
        <v>21685.6</v>
      </c>
      <c r="D9" s="10" t="s">
        <v>9</v>
      </c>
      <c r="E9" s="12" t="n">
        <f aca="false">C9/1000</f>
        <v>21.6856</v>
      </c>
    </row>
    <row r="10" customFormat="false" ht="15" hidden="false" customHeight="true" outlineLevel="0" collapsed="false">
      <c r="A10" s="5" t="s">
        <v>18</v>
      </c>
      <c r="B10" s="6" t="s">
        <v>11</v>
      </c>
      <c r="C10" s="7" t="n">
        <v>5063.4</v>
      </c>
      <c r="D10" s="6" t="s">
        <v>9</v>
      </c>
      <c r="E10" s="8" t="n">
        <f aca="false">C10/1000</f>
        <v>5.0634</v>
      </c>
    </row>
    <row r="11" customFormat="false" ht="15" hidden="false" customHeight="true" outlineLevel="0" collapsed="false">
      <c r="A11" s="9" t="s">
        <v>19</v>
      </c>
      <c r="B11" s="10" t="s">
        <v>11</v>
      </c>
      <c r="C11" s="11" t="n">
        <v>11000</v>
      </c>
      <c r="D11" s="10" t="s">
        <v>9</v>
      </c>
      <c r="E11" s="12" t="n">
        <f aca="false">C11/1000</f>
        <v>11</v>
      </c>
    </row>
    <row r="12" customFormat="false" ht="15" hidden="false" customHeight="true" outlineLevel="0" collapsed="false">
      <c r="A12" s="5" t="s">
        <v>20</v>
      </c>
      <c r="B12" s="6" t="s">
        <v>21</v>
      </c>
      <c r="C12" s="11" t="n">
        <v>2200</v>
      </c>
      <c r="D12" s="6" t="s">
        <v>9</v>
      </c>
      <c r="E12" s="8" t="n">
        <f aca="false">C12/730</f>
        <v>3.01369863013699</v>
      </c>
    </row>
    <row r="13" customFormat="false" ht="15" hidden="false" customHeight="true" outlineLevel="0" collapsed="false">
      <c r="A13" s="9" t="s">
        <v>22</v>
      </c>
      <c r="B13" s="10" t="s">
        <v>23</v>
      </c>
      <c r="C13" s="7" t="n">
        <v>2200</v>
      </c>
      <c r="D13" s="10" t="s">
        <v>9</v>
      </c>
      <c r="E13" s="12" t="n">
        <f aca="false">C13/200</f>
        <v>11</v>
      </c>
    </row>
    <row r="14" customFormat="false" ht="18" hidden="false" customHeight="true" outlineLevel="0" collapsed="false">
      <c r="A14" s="4" t="s">
        <v>24</v>
      </c>
      <c r="B14" s="4"/>
      <c r="C14" s="4"/>
      <c r="D14" s="4"/>
      <c r="E14" s="4"/>
    </row>
    <row r="15" customFormat="false" ht="15" hidden="false" customHeight="true" outlineLevel="0" collapsed="false">
      <c r="A15" s="5" t="s">
        <v>25</v>
      </c>
      <c r="B15" s="6" t="s">
        <v>26</v>
      </c>
      <c r="C15" s="7" t="n">
        <v>29485.4</v>
      </c>
      <c r="D15" s="6" t="s">
        <v>9</v>
      </c>
      <c r="E15" s="8" t="n">
        <f aca="false">C15/2500</f>
        <v>11.79416</v>
      </c>
    </row>
    <row r="16" customFormat="false" ht="15" hidden="false" customHeight="true" outlineLevel="0" collapsed="false">
      <c r="A16" s="9" t="s">
        <v>27</v>
      </c>
      <c r="B16" s="10" t="s">
        <v>28</v>
      </c>
      <c r="C16" s="11" t="n">
        <v>35750</v>
      </c>
      <c r="D16" s="10" t="s">
        <v>29</v>
      </c>
      <c r="E16" s="12" t="n">
        <f aca="false">C16/4700</f>
        <v>7.6063829787234</v>
      </c>
    </row>
    <row r="17" customFormat="false" ht="15" hidden="false" customHeight="true" outlineLevel="0" collapsed="false">
      <c r="A17" s="5" t="s">
        <v>30</v>
      </c>
      <c r="B17" s="6" t="s">
        <v>11</v>
      </c>
      <c r="C17" s="7" t="n">
        <v>8675.5</v>
      </c>
      <c r="D17" s="6" t="s">
        <v>9</v>
      </c>
      <c r="E17" s="8" t="n">
        <f aca="false">C17/1000</f>
        <v>8.6755</v>
      </c>
    </row>
    <row r="18" customFormat="false" ht="15" hidden="false" customHeight="true" outlineLevel="0" collapsed="false">
      <c r="A18" s="9" t="s">
        <v>31</v>
      </c>
      <c r="B18" s="10" t="s">
        <v>11</v>
      </c>
      <c r="C18" s="11" t="n">
        <v>6000</v>
      </c>
      <c r="D18" s="10" t="s">
        <v>9</v>
      </c>
      <c r="E18" s="12" t="n">
        <f aca="false">C18/1000</f>
        <v>6</v>
      </c>
    </row>
    <row r="19" customFormat="false" ht="15" hidden="false" customHeight="true" outlineLevel="0" collapsed="false">
      <c r="A19" s="5" t="s">
        <v>32</v>
      </c>
      <c r="B19" s="6" t="s">
        <v>11</v>
      </c>
      <c r="C19" s="7" t="n">
        <v>5899.9</v>
      </c>
      <c r="D19" s="6" t="s">
        <v>9</v>
      </c>
      <c r="E19" s="8" t="n">
        <f aca="false">C19/1000</f>
        <v>5.8999</v>
      </c>
    </row>
    <row r="20" customFormat="false" ht="15" hidden="false" customHeight="true" outlineLevel="0" collapsed="false">
      <c r="A20" s="9" t="s">
        <v>33</v>
      </c>
      <c r="B20" s="10" t="s">
        <v>34</v>
      </c>
      <c r="C20" s="11" t="n">
        <v>4500</v>
      </c>
      <c r="D20" s="10" t="s">
        <v>35</v>
      </c>
      <c r="E20" s="12" t="n">
        <f aca="false">C20/30</f>
        <v>150</v>
      </c>
    </row>
    <row r="21" customFormat="false" ht="18" hidden="false" customHeight="true" outlineLevel="0" collapsed="false">
      <c r="A21" s="4" t="s">
        <v>36</v>
      </c>
      <c r="B21" s="4"/>
      <c r="C21" s="4"/>
      <c r="D21" s="4"/>
      <c r="E21" s="4"/>
    </row>
    <row r="22" customFormat="false" ht="15" hidden="false" customHeight="true" outlineLevel="0" collapsed="false">
      <c r="A22" s="5" t="s">
        <v>37</v>
      </c>
      <c r="B22" s="6" t="s">
        <v>11</v>
      </c>
      <c r="C22" s="7" t="n">
        <v>1031.2</v>
      </c>
      <c r="D22" s="6" t="s">
        <v>9</v>
      </c>
      <c r="E22" s="8" t="n">
        <f aca="false">C22/1000</f>
        <v>1.0312</v>
      </c>
    </row>
    <row r="23" customFormat="false" ht="15" hidden="false" customHeight="true" outlineLevel="0" collapsed="false">
      <c r="A23" s="9" t="s">
        <v>38</v>
      </c>
      <c r="B23" s="10" t="s">
        <v>11</v>
      </c>
      <c r="C23" s="11" t="n">
        <v>1300</v>
      </c>
      <c r="D23" s="10" t="s">
        <v>9</v>
      </c>
      <c r="E23" s="12" t="n">
        <f aca="false">C23/1000</f>
        <v>1.3</v>
      </c>
    </row>
    <row r="24" customFormat="false" ht="15" hidden="false" customHeight="true" outlineLevel="0" collapsed="false">
      <c r="A24" s="5" t="s">
        <v>39</v>
      </c>
      <c r="B24" s="6" t="s">
        <v>40</v>
      </c>
      <c r="C24" s="7" t="n">
        <v>10</v>
      </c>
      <c r="D24" s="6" t="s">
        <v>35</v>
      </c>
      <c r="E24" s="8" t="n">
        <f aca="false">C24</f>
        <v>10</v>
      </c>
    </row>
    <row r="25" customFormat="false" ht="15" hidden="false" customHeight="true" outlineLevel="0" collapsed="false">
      <c r="A25" s="9" t="s">
        <v>41</v>
      </c>
      <c r="B25" s="10" t="s">
        <v>11</v>
      </c>
      <c r="C25" s="11" t="n">
        <v>8000</v>
      </c>
      <c r="D25" s="10" t="s">
        <v>9</v>
      </c>
      <c r="E25" s="12" t="n">
        <f aca="false">C25/1000</f>
        <v>8</v>
      </c>
    </row>
    <row r="26" customFormat="false" ht="18" hidden="false" customHeight="true" outlineLevel="0" collapsed="false">
      <c r="A26" s="4" t="s">
        <v>42</v>
      </c>
      <c r="B26" s="4"/>
      <c r="C26" s="4"/>
      <c r="D26" s="4"/>
      <c r="E26" s="4"/>
    </row>
    <row r="27" customFormat="false" ht="15" hidden="false" customHeight="true" outlineLevel="0" collapsed="false">
      <c r="A27" s="5" t="s">
        <v>43</v>
      </c>
      <c r="B27" s="6" t="s">
        <v>44</v>
      </c>
      <c r="C27" s="7" t="n">
        <v>10600</v>
      </c>
      <c r="D27" s="6" t="s">
        <v>9</v>
      </c>
      <c r="E27" s="8" t="n">
        <f aca="false">C27/800</f>
        <v>13.25</v>
      </c>
    </row>
    <row r="28" customFormat="false" ht="15" hidden="false" customHeight="true" outlineLevel="0" collapsed="false">
      <c r="A28" s="9" t="s">
        <v>45</v>
      </c>
      <c r="B28" s="10" t="s">
        <v>44</v>
      </c>
      <c r="C28" s="11" t="n">
        <v>13000</v>
      </c>
      <c r="D28" s="10" t="s">
        <v>9</v>
      </c>
      <c r="E28" s="12" t="n">
        <f aca="false">C28/800</f>
        <v>16.25</v>
      </c>
    </row>
    <row r="29" customFormat="false" ht="18" hidden="false" customHeight="true" outlineLevel="0" collapsed="false">
      <c r="A29" s="4" t="s">
        <v>46</v>
      </c>
      <c r="B29" s="4"/>
      <c r="C29" s="4"/>
      <c r="D29" s="4"/>
      <c r="E29" s="4"/>
    </row>
    <row r="30" customFormat="false" ht="18" hidden="false" customHeight="true" outlineLevel="0" collapsed="false">
      <c r="A30" s="5" t="s">
        <v>47</v>
      </c>
      <c r="B30" s="6" t="s">
        <v>13</v>
      </c>
      <c r="C30" s="7" t="n">
        <v>14625</v>
      </c>
      <c r="D30" s="6" t="s">
        <v>9</v>
      </c>
      <c r="E30" s="8" t="n">
        <f aca="false">C30/10000</f>
        <v>1.4625</v>
      </c>
    </row>
    <row r="31" customFormat="false" ht="15" hidden="false" customHeight="true" outlineLevel="0" collapsed="false">
      <c r="A31" s="9" t="s">
        <v>48</v>
      </c>
      <c r="B31" s="10" t="s">
        <v>49</v>
      </c>
      <c r="C31" s="11" t="n">
        <v>48000</v>
      </c>
      <c r="D31" s="10" t="s">
        <v>9</v>
      </c>
      <c r="E31" s="12" t="n">
        <f aca="false">C31/3000</f>
        <v>16</v>
      </c>
    </row>
    <row r="32" customFormat="false" ht="15" hidden="false" customHeight="true" outlineLevel="0" collapsed="false">
      <c r="A32" s="5" t="s">
        <v>50</v>
      </c>
      <c r="B32" s="6" t="s">
        <v>51</v>
      </c>
      <c r="C32" s="7" t="n">
        <v>14897.6</v>
      </c>
      <c r="D32" s="6" t="s">
        <v>9</v>
      </c>
      <c r="E32" s="8" t="n">
        <f aca="false">C32/5000</f>
        <v>2.97952</v>
      </c>
    </row>
    <row r="33" customFormat="false" ht="15" hidden="false" customHeight="true" outlineLevel="0" collapsed="false">
      <c r="A33" s="9" t="s">
        <v>52</v>
      </c>
      <c r="B33" s="10" t="s">
        <v>23</v>
      </c>
      <c r="C33" s="11" t="n">
        <v>2700</v>
      </c>
      <c r="D33" s="10" t="s">
        <v>9</v>
      </c>
      <c r="E33" s="12" t="n">
        <f aca="false">C33/200</f>
        <v>13.5</v>
      </c>
    </row>
    <row r="34" customFormat="false" ht="15" hidden="false" customHeight="true" outlineLevel="0" collapsed="false">
      <c r="A34" s="5" t="s">
        <v>53</v>
      </c>
      <c r="B34" s="6" t="s">
        <v>54</v>
      </c>
      <c r="C34" s="7" t="n">
        <v>1800</v>
      </c>
      <c r="D34" s="6" t="s">
        <v>35</v>
      </c>
      <c r="E34" s="8" t="n">
        <f aca="false">C34</f>
        <v>1800</v>
      </c>
    </row>
    <row r="35" customFormat="false" ht="18" hidden="false" customHeight="true" outlineLevel="0" collapsed="false">
      <c r="A35" s="4" t="s">
        <v>55</v>
      </c>
      <c r="B35" s="4"/>
      <c r="C35" s="4"/>
      <c r="D35" s="4"/>
      <c r="E35" s="4"/>
    </row>
    <row r="36" customFormat="false" ht="15" hidden="false" customHeight="true" outlineLevel="0" collapsed="false">
      <c r="A36" s="5" t="s">
        <v>56</v>
      </c>
      <c r="B36" s="6" t="s">
        <v>11</v>
      </c>
      <c r="C36" s="7" t="n">
        <v>9000</v>
      </c>
      <c r="D36" s="6" t="s">
        <v>9</v>
      </c>
      <c r="E36" s="8" t="n">
        <f aca="false">C36/1000</f>
        <v>9</v>
      </c>
    </row>
    <row r="37" customFormat="false" ht="15" hidden="false" customHeight="true" outlineLevel="0" collapsed="false">
      <c r="A37" s="9" t="s">
        <v>57</v>
      </c>
      <c r="B37" s="10" t="s">
        <v>11</v>
      </c>
      <c r="C37" s="11" t="n">
        <v>6298.1</v>
      </c>
      <c r="D37" s="10" t="s">
        <v>9</v>
      </c>
      <c r="E37" s="12" t="n">
        <f aca="false">C37/1000</f>
        <v>6.2981</v>
      </c>
    </row>
    <row r="38" customFormat="false" ht="18" hidden="false" customHeight="true" outlineLevel="0" collapsed="false">
      <c r="A38" s="4" t="s">
        <v>58</v>
      </c>
      <c r="B38" s="4"/>
      <c r="C38" s="4"/>
      <c r="D38" s="4"/>
      <c r="E38" s="4"/>
    </row>
    <row r="39" customFormat="false" ht="15" hidden="false" customHeight="true" outlineLevel="0" collapsed="false">
      <c r="A39" s="5" t="s">
        <v>59</v>
      </c>
      <c r="B39" s="6" t="s">
        <v>60</v>
      </c>
      <c r="C39" s="7" t="n">
        <v>4852.8</v>
      </c>
      <c r="D39" s="6" t="s">
        <v>29</v>
      </c>
      <c r="E39" s="8" t="n">
        <f aca="false">C39/1500</f>
        <v>3.2352</v>
      </c>
    </row>
    <row r="40" customFormat="false" ht="15" hidden="false" customHeight="true" outlineLevel="0" collapsed="false">
      <c r="A40" s="9" t="s">
        <v>61</v>
      </c>
      <c r="B40" s="10" t="s">
        <v>62</v>
      </c>
      <c r="C40" s="11" t="n">
        <v>3200</v>
      </c>
      <c r="D40" s="10" t="s">
        <v>9</v>
      </c>
      <c r="E40" s="12" t="n">
        <f aca="false">C40/500</f>
        <v>6.4</v>
      </c>
    </row>
    <row r="41" customFormat="false" ht="15" hidden="false" customHeight="true" outlineLevel="0" collapsed="false">
      <c r="A41" s="5" t="s">
        <v>63</v>
      </c>
      <c r="B41" s="6" t="s">
        <v>11</v>
      </c>
      <c r="C41" s="7" t="n">
        <v>10000</v>
      </c>
      <c r="D41" s="6" t="s">
        <v>9</v>
      </c>
      <c r="E41" s="8" t="n">
        <f aca="false">C41/1000</f>
        <v>10</v>
      </c>
    </row>
    <row r="42" customFormat="false" ht="15" hidden="false" customHeight="true" outlineLevel="0" collapsed="false">
      <c r="A42" s="9" t="s">
        <v>64</v>
      </c>
      <c r="B42" s="10" t="s">
        <v>65</v>
      </c>
      <c r="C42" s="11" t="n">
        <v>5800</v>
      </c>
      <c r="D42" s="10" t="s">
        <v>29</v>
      </c>
      <c r="E42" s="12" t="n">
        <f aca="false">C42/2000</f>
        <v>2.9</v>
      </c>
    </row>
    <row r="43" customFormat="false" ht="15" hidden="false" customHeight="true" outlineLevel="0" collapsed="false">
      <c r="A43" s="5" t="s">
        <v>66</v>
      </c>
      <c r="B43" s="6" t="s">
        <v>11</v>
      </c>
      <c r="C43" s="7" t="n">
        <v>11335.5</v>
      </c>
      <c r="D43" s="6" t="s">
        <v>9</v>
      </c>
      <c r="E43" s="8" t="n">
        <f aca="false">C43/1000</f>
        <v>11.3355</v>
      </c>
    </row>
    <row r="44" customFormat="false" ht="15" hidden="false" customHeight="true" outlineLevel="0" collapsed="false">
      <c r="A44" s="9" t="s">
        <v>67</v>
      </c>
      <c r="B44" s="10" t="s">
        <v>68</v>
      </c>
      <c r="C44" s="11" t="n">
        <v>501.8</v>
      </c>
      <c r="D44" s="10" t="s">
        <v>9</v>
      </c>
      <c r="E44" s="12" t="n">
        <f aca="false">C44/520</f>
        <v>0.965</v>
      </c>
    </row>
    <row r="45" customFormat="false" ht="15" hidden="false" customHeight="true" outlineLevel="0" collapsed="false">
      <c r="A45" s="5" t="s">
        <v>69</v>
      </c>
      <c r="B45" s="6" t="s">
        <v>70</v>
      </c>
      <c r="C45" s="7" t="n">
        <v>1355.8</v>
      </c>
      <c r="D45" s="6" t="s">
        <v>35</v>
      </c>
      <c r="E45" s="8" t="n">
        <f aca="false">C45</f>
        <v>1355.8</v>
      </c>
    </row>
    <row r="46" customFormat="false" ht="15" hidden="false" customHeight="true" outlineLevel="0" collapsed="false">
      <c r="A46" s="9" t="s">
        <v>71</v>
      </c>
      <c r="B46" s="10" t="s">
        <v>72</v>
      </c>
      <c r="C46" s="11" t="n">
        <v>4632.4</v>
      </c>
      <c r="D46" s="10" t="s">
        <v>29</v>
      </c>
      <c r="E46" s="12" t="n">
        <f aca="false">C46/1000</f>
        <v>4.6324</v>
      </c>
    </row>
    <row r="47" customFormat="false" ht="15" hidden="false" customHeight="true" outlineLevel="0" collapsed="false">
      <c r="A47" s="5" t="s">
        <v>73</v>
      </c>
      <c r="B47" s="6" t="s">
        <v>74</v>
      </c>
      <c r="C47" s="7" t="n">
        <v>4050</v>
      </c>
      <c r="D47" s="6" t="s">
        <v>9</v>
      </c>
      <c r="E47" s="8" t="n">
        <f aca="false">C47/310</f>
        <v>13.0645161290323</v>
      </c>
    </row>
    <row r="48" customFormat="false" ht="15" hidden="false" customHeight="true" outlineLevel="0" collapsed="false">
      <c r="A48" s="9" t="s">
        <v>75</v>
      </c>
      <c r="B48" s="10" t="s">
        <v>74</v>
      </c>
      <c r="C48" s="11" t="n">
        <v>5360</v>
      </c>
      <c r="D48" s="10" t="s">
        <v>9</v>
      </c>
      <c r="E48" s="12" t="n">
        <f aca="false">C48/310</f>
        <v>17.2903225806452</v>
      </c>
    </row>
    <row r="49" customFormat="false" ht="15" hidden="false" customHeight="true" outlineLevel="0" collapsed="false">
      <c r="A49" s="5" t="s">
        <v>76</v>
      </c>
      <c r="B49" s="6" t="s">
        <v>77</v>
      </c>
      <c r="C49" s="7" t="n">
        <v>2800</v>
      </c>
      <c r="D49" s="6" t="s">
        <v>35</v>
      </c>
      <c r="E49" s="8" t="n">
        <f aca="false">C49/10</f>
        <v>280</v>
      </c>
    </row>
    <row r="50" customFormat="false" ht="18" hidden="false" customHeight="true" outlineLevel="0" collapsed="false">
      <c r="A50" s="4" t="s">
        <v>78</v>
      </c>
      <c r="B50" s="4"/>
      <c r="C50" s="4"/>
      <c r="D50" s="4"/>
      <c r="E50" s="4"/>
    </row>
    <row r="51" customFormat="false" ht="15" hidden="false" customHeight="true" outlineLevel="0" collapsed="false">
      <c r="A51" s="5" t="s">
        <v>79</v>
      </c>
      <c r="B51" s="6" t="s">
        <v>80</v>
      </c>
      <c r="C51" s="7" t="n">
        <v>13000</v>
      </c>
      <c r="D51" s="6" t="s">
        <v>35</v>
      </c>
      <c r="E51" s="8" t="n">
        <f aca="false">C51/240</f>
        <v>54.1666666666667</v>
      </c>
    </row>
    <row r="52" customFormat="false" ht="15" hidden="false" customHeight="true" outlineLevel="0" collapsed="false">
      <c r="A52" s="9" t="s">
        <v>81</v>
      </c>
      <c r="B52" s="10" t="s">
        <v>70</v>
      </c>
      <c r="C52" s="11" t="n">
        <v>400</v>
      </c>
      <c r="D52" s="10" t="s">
        <v>35</v>
      </c>
      <c r="E52" s="12" t="n">
        <f aca="false">C52</f>
        <v>400</v>
      </c>
    </row>
    <row r="53" customFormat="false" ht="15" hidden="false" customHeight="true" outlineLevel="0" collapsed="false">
      <c r="A53" s="5" t="s">
        <v>82</v>
      </c>
      <c r="B53" s="6" t="s">
        <v>70</v>
      </c>
      <c r="C53" s="7" t="n">
        <v>38</v>
      </c>
      <c r="D53" s="6" t="s">
        <v>35</v>
      </c>
      <c r="E53" s="8" t="n">
        <f aca="false">C53</f>
        <v>38</v>
      </c>
    </row>
    <row r="54" customFormat="false" ht="15" hidden="false" customHeight="true" outlineLevel="0" collapsed="false">
      <c r="A54" s="9" t="s">
        <v>83</v>
      </c>
      <c r="B54" s="10" t="s">
        <v>70</v>
      </c>
      <c r="C54" s="11" t="n">
        <v>500</v>
      </c>
      <c r="D54" s="10" t="s">
        <v>35</v>
      </c>
      <c r="E54" s="12" t="n">
        <f aca="false">C54</f>
        <v>500</v>
      </c>
    </row>
    <row r="55" customFormat="false" ht="15" hidden="false" customHeight="true" outlineLevel="0" collapsed="false">
      <c r="A55" s="5" t="s">
        <v>84</v>
      </c>
      <c r="B55" s="6" t="s">
        <v>70</v>
      </c>
      <c r="C55" s="7" t="n">
        <v>6.67</v>
      </c>
      <c r="D55" s="6" t="s">
        <v>35</v>
      </c>
      <c r="E55" s="8" t="n">
        <f aca="false">C55</f>
        <v>6.67</v>
      </c>
    </row>
    <row r="56" customFormat="false" ht="15" hidden="false" customHeight="true" outlineLevel="0" collapsed="false">
      <c r="A56" s="9" t="s">
        <v>85</v>
      </c>
      <c r="B56" s="10" t="s">
        <v>70</v>
      </c>
      <c r="C56" s="11" t="n">
        <v>90</v>
      </c>
      <c r="D56" s="10" t="s">
        <v>35</v>
      </c>
      <c r="E56" s="12" t="n">
        <f aca="false">C56</f>
        <v>90</v>
      </c>
    </row>
    <row r="57" customFormat="false" ht="15" hidden="false" customHeight="true" outlineLevel="0" collapsed="false">
      <c r="A57" s="5" t="s">
        <v>86</v>
      </c>
      <c r="B57" s="6" t="s">
        <v>87</v>
      </c>
      <c r="C57" s="7" t="n">
        <v>13300</v>
      </c>
      <c r="D57" s="6" t="s">
        <v>35</v>
      </c>
      <c r="E57" s="8" t="n">
        <f aca="false">C57</f>
        <v>13300</v>
      </c>
    </row>
    <row r="58" customFormat="false" ht="15" hidden="false" customHeight="true" outlineLevel="0" collapsed="false">
      <c r="A58" s="13"/>
      <c r="B58" s="13"/>
      <c r="C58" s="13"/>
      <c r="D58" s="13"/>
      <c r="E58" s="13"/>
    </row>
    <row r="59" customFormat="false" ht="15" hidden="false" customHeight="true" outlineLevel="0" collapsed="false">
      <c r="A59" s="13"/>
      <c r="B59" s="13"/>
      <c r="C59" s="13"/>
      <c r="D59" s="13"/>
      <c r="E59" s="13"/>
    </row>
    <row r="60" customFormat="false" ht="15" hidden="false" customHeight="true" outlineLevel="0" collapsed="false">
      <c r="A60" s="13"/>
      <c r="B60" s="13"/>
      <c r="C60" s="13"/>
      <c r="D60" s="13"/>
      <c r="E60" s="13"/>
    </row>
    <row r="61" customFormat="false" ht="15" hidden="false" customHeight="true" outlineLevel="0" collapsed="false">
      <c r="A61" s="13"/>
      <c r="B61" s="13"/>
      <c r="C61" s="13"/>
      <c r="D61" s="13"/>
      <c r="E61" s="13"/>
    </row>
    <row r="62" customFormat="false" ht="15" hidden="false" customHeight="true" outlineLevel="0" collapsed="false">
      <c r="A62" s="13"/>
      <c r="B62" s="13"/>
      <c r="C62" s="13"/>
      <c r="D62" s="13"/>
      <c r="E62" s="13"/>
    </row>
    <row r="63" customFormat="false" ht="15" hidden="false" customHeight="true" outlineLevel="0" collapsed="false">
      <c r="A63" s="13"/>
      <c r="B63" s="13"/>
      <c r="C63" s="13"/>
      <c r="D63" s="13"/>
      <c r="E63" s="13"/>
    </row>
    <row r="64" customFormat="false" ht="15" hidden="false" customHeight="true" outlineLevel="0" collapsed="false">
      <c r="A64" s="13"/>
      <c r="B64" s="13"/>
      <c r="C64" s="13"/>
      <c r="D64" s="13"/>
      <c r="E64" s="13"/>
    </row>
    <row r="65" customFormat="false" ht="15" hidden="false" customHeight="true" outlineLevel="0" collapsed="false">
      <c r="A65" s="13"/>
      <c r="B65" s="13"/>
      <c r="C65" s="13"/>
      <c r="D65" s="13"/>
      <c r="E65" s="13"/>
    </row>
    <row r="66" customFormat="false" ht="15" hidden="false" customHeight="true" outlineLevel="0" collapsed="false">
      <c r="A66" s="13"/>
      <c r="B66" s="13"/>
      <c r="C66" s="13"/>
      <c r="D66" s="13"/>
      <c r="E66" s="13"/>
    </row>
    <row r="67" customFormat="false" ht="15" hidden="false" customHeight="true" outlineLevel="0" collapsed="false">
      <c r="A67" s="13"/>
      <c r="B67" s="13"/>
      <c r="C67" s="13"/>
      <c r="D67" s="13"/>
      <c r="E67" s="13"/>
    </row>
    <row r="68" customFormat="false" ht="15" hidden="false" customHeight="true" outlineLevel="0" collapsed="false">
      <c r="A68" s="13"/>
      <c r="B68" s="13"/>
      <c r="C68" s="13"/>
      <c r="D68" s="13"/>
      <c r="E68" s="13"/>
    </row>
    <row r="69" customFormat="false" ht="15" hidden="false" customHeight="true" outlineLevel="0" collapsed="false">
      <c r="A69" s="13"/>
      <c r="B69" s="13"/>
      <c r="C69" s="13"/>
      <c r="D69" s="13"/>
      <c r="E69" s="13"/>
    </row>
    <row r="70" customFormat="false" ht="15" hidden="false" customHeight="true" outlineLevel="0" collapsed="false">
      <c r="A70" s="13"/>
      <c r="B70" s="13"/>
      <c r="C70" s="13"/>
      <c r="D70" s="13"/>
      <c r="E70" s="13"/>
    </row>
    <row r="71" customFormat="false" ht="15" hidden="false" customHeight="true" outlineLevel="0" collapsed="false">
      <c r="A71" s="5" t="s">
        <v>88</v>
      </c>
      <c r="B71" s="6" t="s">
        <v>89</v>
      </c>
      <c r="C71" s="7" t="n">
        <v>2600</v>
      </c>
      <c r="D71" s="6" t="s">
        <v>9</v>
      </c>
      <c r="E71" s="8" t="n">
        <f aca="false">C58/250</f>
        <v>0</v>
      </c>
    </row>
    <row r="72" customFormat="false" ht="15" hidden="false" customHeight="true" outlineLevel="0" collapsed="false">
      <c r="A72" s="9" t="s">
        <v>90</v>
      </c>
      <c r="B72" s="10" t="s">
        <v>91</v>
      </c>
      <c r="C72" s="11" t="n">
        <v>6000</v>
      </c>
      <c r="D72" s="10" t="s">
        <v>35</v>
      </c>
      <c r="E72" s="12" t="n">
        <f aca="false">C59/2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6" min="5" style="1" width="18"/>
    <col collapsed="false" customWidth="true" hidden="false" outlineLevel="0" max="7" min="7" style="1" width="16"/>
  </cols>
  <sheetData>
    <row r="1" customFormat="false" ht="27.75" hidden="false" customHeight="true" outlineLevel="0" collapsed="false">
      <c r="A1" s="14" t="s">
        <v>92</v>
      </c>
    </row>
    <row r="2" customFormat="false" ht="18" hidden="false" customHeight="true" outlineLevel="0" collapsed="false">
      <c r="A2" s="3" t="s">
        <v>93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</row>
    <row r="3" customFormat="false" ht="21.75" hidden="false" customHeight="true" outlineLevel="0" collapsed="false">
      <c r="A3" s="15" t="s">
        <v>100</v>
      </c>
    </row>
    <row r="4" customFormat="false" ht="15.75" hidden="false" customHeight="true" outlineLevel="0" collapsed="false">
      <c r="A4" s="3" t="s">
        <v>93</v>
      </c>
      <c r="B4" s="3" t="s">
        <v>94</v>
      </c>
      <c r="C4" s="3" t="s">
        <v>95</v>
      </c>
      <c r="D4" s="3" t="s">
        <v>96</v>
      </c>
      <c r="E4" s="3"/>
      <c r="F4" s="3"/>
      <c r="G4" s="3"/>
    </row>
    <row r="5" customFormat="false" ht="15" hidden="false" customHeight="true" outlineLevel="0" collapsed="false">
      <c r="A5" s="5" t="s">
        <v>101</v>
      </c>
      <c r="B5" s="6" t="s">
        <v>102</v>
      </c>
      <c r="C5" s="8" t="n">
        <f aca="false">'Materias Primas'!C4/1000</f>
        <v>1.68118811881188</v>
      </c>
      <c r="D5" s="7" t="n">
        <f aca="false">('Materias Primas'!C4/1000)*1700</f>
        <v>2858.0198019802</v>
      </c>
      <c r="E5" s="6"/>
      <c r="F5" s="6"/>
      <c r="G5" s="6"/>
    </row>
    <row r="6" customFormat="false" ht="15" hidden="false" customHeight="true" outlineLevel="0" collapsed="false">
      <c r="A6" s="9" t="s">
        <v>61</v>
      </c>
      <c r="B6" s="10" t="s">
        <v>103</v>
      </c>
      <c r="C6" s="12" t="n">
        <f aca="false">'Materias Primas'!C40/500</f>
        <v>6.4</v>
      </c>
      <c r="D6" s="11" t="n">
        <f aca="false">('Materias Primas'!C40/500)*140</f>
        <v>896</v>
      </c>
      <c r="E6" s="10"/>
      <c r="F6" s="10"/>
      <c r="G6" s="10"/>
    </row>
    <row r="7" customFormat="false" ht="15" hidden="false" customHeight="true" outlineLevel="0" collapsed="false">
      <c r="A7" s="5" t="s">
        <v>37</v>
      </c>
      <c r="B7" s="6" t="s">
        <v>104</v>
      </c>
      <c r="C7" s="8" t="n">
        <f aca="false">'Materias Primas'!C22/1000</f>
        <v>1.0312</v>
      </c>
      <c r="D7" s="7" t="n">
        <f aca="false">('Materias Primas'!C22/1000)*100</f>
        <v>103.12</v>
      </c>
      <c r="E7" s="6"/>
      <c r="F7" s="6"/>
      <c r="G7" s="6"/>
    </row>
    <row r="8" customFormat="false" ht="15" hidden="false" customHeight="true" outlineLevel="0" collapsed="false">
      <c r="A8" s="9" t="s">
        <v>59</v>
      </c>
      <c r="B8" s="10" t="s">
        <v>105</v>
      </c>
      <c r="C8" s="12" t="n">
        <f aca="false">'Materias Primas'!C39/1500</f>
        <v>3.2352</v>
      </c>
      <c r="D8" s="11" t="n">
        <f aca="false">('Materias Primas'!C39/1500)*100</f>
        <v>323.52</v>
      </c>
      <c r="E8" s="10"/>
      <c r="F8" s="10"/>
      <c r="G8" s="10"/>
    </row>
    <row r="9" customFormat="false" ht="15" hidden="false" customHeight="true" outlineLevel="0" collapsed="false">
      <c r="A9" s="5" t="s">
        <v>33</v>
      </c>
      <c r="B9" s="6" t="s">
        <v>106</v>
      </c>
      <c r="C9" s="8" t="n">
        <f aca="false">'Materias Primas'!C20/30</f>
        <v>150</v>
      </c>
      <c r="D9" s="7" t="n">
        <f aca="false">('Materias Primas'!C20/30)*6</f>
        <v>900</v>
      </c>
      <c r="E9" s="6"/>
      <c r="F9" s="6"/>
      <c r="G9" s="6"/>
    </row>
    <row r="10" customFormat="false" ht="15" hidden="false" customHeight="true" outlineLevel="0" collapsed="false">
      <c r="A10" s="16" t="s">
        <v>107</v>
      </c>
      <c r="B10" s="3" t="n">
        <v>4</v>
      </c>
      <c r="C10" s="3"/>
      <c r="D10" s="17" t="n">
        <f aca="false">SUM(D5:D9)</f>
        <v>5080.6598019802</v>
      </c>
      <c r="E10" s="17" t="n">
        <f aca="false">D10/B10</f>
        <v>1270.16495049505</v>
      </c>
      <c r="F10" s="18" t="n">
        <v>6000</v>
      </c>
      <c r="G10" s="19" t="n">
        <f aca="false">(F10-E10)/F10</f>
        <v>0.788305841584159</v>
      </c>
    </row>
    <row r="12" customFormat="false" ht="21.75" hidden="false" customHeight="true" outlineLevel="0" collapsed="false">
      <c r="A12" s="15" t="s">
        <v>108</v>
      </c>
    </row>
    <row r="13" customFormat="false" ht="15.75" hidden="false" customHeight="true" outlineLevel="0" collapsed="false">
      <c r="A13" s="3" t="s">
        <v>93</v>
      </c>
      <c r="B13" s="3" t="s">
        <v>94</v>
      </c>
      <c r="C13" s="3" t="s">
        <v>95</v>
      </c>
      <c r="D13" s="3" t="s">
        <v>96</v>
      </c>
      <c r="E13" s="3"/>
      <c r="F13" s="3"/>
      <c r="G13" s="3"/>
    </row>
    <row r="14" customFormat="false" ht="15" hidden="false" customHeight="true" outlineLevel="0" collapsed="false">
      <c r="A14" s="5" t="s">
        <v>17</v>
      </c>
      <c r="B14" s="6" t="s">
        <v>109</v>
      </c>
      <c r="C14" s="8" t="n">
        <f aca="false">'Materias Primas'!C9/1000</f>
        <v>21.6856</v>
      </c>
      <c r="D14" s="7" t="n">
        <f aca="false">('Materias Primas'!C9/1000)*200</f>
        <v>4337.12</v>
      </c>
      <c r="E14" s="6"/>
      <c r="F14" s="6"/>
      <c r="G14" s="6"/>
    </row>
    <row r="15" customFormat="false" ht="15" hidden="false" customHeight="true" outlineLevel="0" collapsed="false">
      <c r="A15" s="9" t="s">
        <v>18</v>
      </c>
      <c r="B15" s="10" t="s">
        <v>110</v>
      </c>
      <c r="C15" s="12" t="n">
        <f aca="false">'Materias Primas'!C10/1000</f>
        <v>5.0634</v>
      </c>
      <c r="D15" s="11" t="n">
        <f aca="false">('Materias Primas'!C10/1000)*50</f>
        <v>253.17</v>
      </c>
      <c r="E15" s="10"/>
      <c r="F15" s="10"/>
      <c r="G15" s="10"/>
    </row>
    <row r="16" customFormat="false" ht="15" hidden="false" customHeight="true" outlineLevel="0" collapsed="false">
      <c r="A16" s="5" t="s">
        <v>111</v>
      </c>
      <c r="B16" s="6" t="s">
        <v>112</v>
      </c>
      <c r="C16" s="8" t="n">
        <f aca="false">'Materias Primas'!C20/30</f>
        <v>150</v>
      </c>
      <c r="D16" s="7" t="n">
        <f aca="false">('Materias Primas'!C20/30)*1</f>
        <v>150</v>
      </c>
      <c r="E16" s="6"/>
      <c r="F16" s="6"/>
      <c r="G16" s="6"/>
    </row>
    <row r="17" customFormat="false" ht="15" hidden="false" customHeight="true" outlineLevel="0" collapsed="false">
      <c r="A17" s="9" t="s">
        <v>25</v>
      </c>
      <c r="B17" s="10" t="s">
        <v>104</v>
      </c>
      <c r="C17" s="12" t="n">
        <f aca="false">'Materias Primas'!C15/2500</f>
        <v>11.79416</v>
      </c>
      <c r="D17" s="11" t="n">
        <f aca="false">('Materias Primas'!C15/2500)*100</f>
        <v>1179.416</v>
      </c>
      <c r="E17" s="10"/>
      <c r="F17" s="10"/>
      <c r="G17" s="10"/>
    </row>
    <row r="18" customFormat="false" ht="15" hidden="false" customHeight="true" outlineLevel="0" collapsed="false">
      <c r="A18" s="5" t="s">
        <v>39</v>
      </c>
      <c r="B18" s="6" t="s">
        <v>113</v>
      </c>
      <c r="C18" s="8" t="n">
        <f aca="false">'Materias Primas'!C24</f>
        <v>10</v>
      </c>
      <c r="D18" s="7" t="n">
        <f aca="false">'Materias Primas'!C24*6</f>
        <v>60</v>
      </c>
      <c r="E18" s="6"/>
      <c r="F18" s="6"/>
      <c r="G18" s="6"/>
    </row>
    <row r="19" customFormat="false" ht="15" hidden="false" customHeight="true" outlineLevel="0" collapsed="false">
      <c r="A19" s="9" t="s">
        <v>64</v>
      </c>
      <c r="B19" s="10" t="s">
        <v>114</v>
      </c>
      <c r="C19" s="12" t="n">
        <f aca="false">'Materias Primas'!C42/2000</f>
        <v>2.9</v>
      </c>
      <c r="D19" s="11" t="n">
        <f aca="false">('Materias Primas'!C42/2000)*10</f>
        <v>29</v>
      </c>
      <c r="E19" s="10"/>
      <c r="F19" s="10"/>
      <c r="G19" s="10"/>
    </row>
    <row r="20" customFormat="false" ht="15" hidden="false" customHeight="true" outlineLevel="0" collapsed="false">
      <c r="A20" s="16" t="s">
        <v>115</v>
      </c>
      <c r="B20" s="3" t="n">
        <v>20</v>
      </c>
      <c r="C20" s="3"/>
      <c r="D20" s="17" t="n">
        <f aca="false">SUM(D14:D19)</f>
        <v>6008.706</v>
      </c>
      <c r="E20" s="17" t="n">
        <f aca="false">D20/B20</f>
        <v>300.4353</v>
      </c>
      <c r="F20" s="18" t="n">
        <v>3000</v>
      </c>
      <c r="G20" s="19" t="n">
        <f aca="false">(F20-E20)/F20</f>
        <v>0.8998549</v>
      </c>
    </row>
    <row r="22" customFormat="false" ht="21.75" hidden="false" customHeight="true" outlineLevel="0" collapsed="false">
      <c r="A22" s="15" t="s">
        <v>116</v>
      </c>
    </row>
    <row r="23" customFormat="false" ht="15.75" hidden="false" customHeight="true" outlineLevel="0" collapsed="false">
      <c r="A23" s="3" t="s">
        <v>93</v>
      </c>
      <c r="B23" s="3" t="s">
        <v>94</v>
      </c>
      <c r="C23" s="3" t="s">
        <v>95</v>
      </c>
      <c r="D23" s="3" t="s">
        <v>96</v>
      </c>
      <c r="E23" s="3"/>
      <c r="F23" s="3"/>
      <c r="G23" s="3"/>
    </row>
    <row r="24" customFormat="false" ht="15" hidden="false" customHeight="true" outlineLevel="0" collapsed="false">
      <c r="A24" s="5" t="s">
        <v>101</v>
      </c>
      <c r="B24" s="6" t="s">
        <v>117</v>
      </c>
      <c r="C24" s="8" t="n">
        <f aca="false">'Materias Primas'!C4/1000</f>
        <v>1.68118811881188</v>
      </c>
      <c r="D24" s="7" t="n">
        <f aca="false">('Materias Primas'!C4/1000)*280</f>
        <v>470.732673267327</v>
      </c>
      <c r="E24" s="6"/>
      <c r="F24" s="6"/>
      <c r="G24" s="6"/>
    </row>
    <row r="25" customFormat="false" ht="15" hidden="false" customHeight="true" outlineLevel="0" collapsed="false">
      <c r="A25" s="9" t="s">
        <v>118</v>
      </c>
      <c r="B25" s="10" t="s">
        <v>112</v>
      </c>
      <c r="C25" s="12" t="n">
        <f aca="false">'Materias Primas'!C20/30</f>
        <v>150</v>
      </c>
      <c r="D25" s="11" t="n">
        <f aca="false">('Materias Primas'!C20/30)*1</f>
        <v>150</v>
      </c>
      <c r="E25" s="10"/>
      <c r="F25" s="10"/>
      <c r="G25" s="10"/>
    </row>
    <row r="26" customFormat="false" ht="15" hidden="false" customHeight="true" outlineLevel="0" collapsed="false">
      <c r="A26" s="5" t="s">
        <v>59</v>
      </c>
      <c r="B26" s="6" t="s">
        <v>119</v>
      </c>
      <c r="C26" s="8" t="n">
        <f aca="false">'Materias Primas'!C39/1500</f>
        <v>3.2352</v>
      </c>
      <c r="D26" s="7" t="n">
        <f aca="false">('Materias Primas'!C39/1500)*20</f>
        <v>64.704</v>
      </c>
      <c r="E26" s="6"/>
      <c r="F26" s="6"/>
      <c r="G26" s="6"/>
    </row>
    <row r="27" customFormat="false" ht="15" hidden="false" customHeight="true" outlineLevel="0" collapsed="false">
      <c r="A27" s="9" t="s">
        <v>31</v>
      </c>
      <c r="B27" s="10" t="s">
        <v>110</v>
      </c>
      <c r="C27" s="12" t="n">
        <f aca="false">'Materias Primas'!C18/1000</f>
        <v>6</v>
      </c>
      <c r="D27" s="11" t="n">
        <f aca="false">('Materias Primas'!C18/1000)*50</f>
        <v>300</v>
      </c>
      <c r="E27" s="10"/>
      <c r="F27" s="10"/>
      <c r="G27" s="10"/>
    </row>
    <row r="28" customFormat="false" ht="15" hidden="false" customHeight="true" outlineLevel="0" collapsed="false">
      <c r="A28" s="5" t="s">
        <v>57</v>
      </c>
      <c r="B28" s="6" t="s">
        <v>120</v>
      </c>
      <c r="C28" s="8" t="n">
        <f aca="false">'Materias Primas'!C37/1000</f>
        <v>6.2981</v>
      </c>
      <c r="D28" s="7" t="n">
        <f aca="false">('Materias Primas'!C37/1000)*30</f>
        <v>188.943</v>
      </c>
      <c r="E28" s="6"/>
      <c r="F28" s="6"/>
      <c r="G28" s="6"/>
    </row>
    <row r="29" customFormat="false" ht="15" hidden="false" customHeight="true" outlineLevel="0" collapsed="false">
      <c r="A29" s="9" t="s">
        <v>121</v>
      </c>
      <c r="B29" s="10" t="s">
        <v>122</v>
      </c>
      <c r="C29" s="12" t="n">
        <f aca="false">'Materias Primas'!C20/30</f>
        <v>150</v>
      </c>
      <c r="D29" s="11" t="n">
        <f aca="false">('Materias Primas'!C20/30)*2</f>
        <v>300</v>
      </c>
      <c r="E29" s="10"/>
      <c r="F29" s="10"/>
      <c r="G29" s="10"/>
    </row>
    <row r="30" customFormat="false" ht="15" hidden="false" customHeight="true" outlineLevel="0" collapsed="false">
      <c r="A30" s="5" t="s">
        <v>123</v>
      </c>
      <c r="B30" s="6" t="s">
        <v>124</v>
      </c>
      <c r="C30" s="8" t="n">
        <f aca="false">1500/6</f>
        <v>250</v>
      </c>
      <c r="D30" s="7" t="n">
        <f aca="false">1500/6*2</f>
        <v>500</v>
      </c>
      <c r="E30" s="6"/>
      <c r="F30" s="6"/>
      <c r="G30" s="6"/>
    </row>
    <row r="31" customFormat="false" ht="15" hidden="false" customHeight="true" outlineLevel="0" collapsed="false">
      <c r="A31" s="16" t="s">
        <v>125</v>
      </c>
      <c r="B31" s="3" t="n">
        <v>2</v>
      </c>
      <c r="C31" s="3"/>
      <c r="D31" s="17" t="n">
        <f aca="false">SUM(D24:D30)</f>
        <v>1974.37967326733</v>
      </c>
      <c r="E31" s="17" t="n">
        <f aca="false">D31/B31</f>
        <v>987.189836633663</v>
      </c>
      <c r="F31" s="18" t="n">
        <v>8500</v>
      </c>
      <c r="G31" s="19" t="n">
        <f aca="false">(F31-E31)/F31</f>
        <v>0.883860019219569</v>
      </c>
    </row>
    <row r="33" customFormat="false" ht="21.75" hidden="false" customHeight="true" outlineLevel="0" collapsed="false">
      <c r="A33" s="15" t="s">
        <v>126</v>
      </c>
    </row>
    <row r="34" customFormat="false" ht="15.75" hidden="false" customHeight="true" outlineLevel="0" collapsed="false">
      <c r="A34" s="3" t="s">
        <v>93</v>
      </c>
      <c r="B34" s="3" t="s">
        <v>94</v>
      </c>
      <c r="C34" s="3" t="s">
        <v>95</v>
      </c>
      <c r="D34" s="3" t="s">
        <v>96</v>
      </c>
      <c r="E34" s="3"/>
      <c r="F34" s="3"/>
      <c r="G34" s="3"/>
    </row>
    <row r="35" customFormat="false" ht="15" hidden="false" customHeight="true" outlineLevel="0" collapsed="false">
      <c r="A35" s="5" t="s">
        <v>127</v>
      </c>
      <c r="B35" s="6" t="s">
        <v>128</v>
      </c>
      <c r="C35" s="8" t="n">
        <f aca="false">3000/12</f>
        <v>250</v>
      </c>
      <c r="D35" s="7" t="n">
        <f aca="false">3000</f>
        <v>3000</v>
      </c>
      <c r="E35" s="6"/>
      <c r="F35" s="6"/>
      <c r="G35" s="6"/>
    </row>
    <row r="36" customFormat="false" ht="15" hidden="false" customHeight="true" outlineLevel="0" collapsed="false">
      <c r="A36" s="9" t="s">
        <v>129</v>
      </c>
      <c r="B36" s="10" t="s">
        <v>130</v>
      </c>
      <c r="C36" s="12" t="n">
        <f aca="false">1500/2</f>
        <v>750</v>
      </c>
      <c r="D36" s="11" t="n">
        <f aca="false">750</f>
        <v>750</v>
      </c>
      <c r="E36" s="10"/>
      <c r="F36" s="10"/>
      <c r="G36" s="10"/>
    </row>
    <row r="37" customFormat="false" ht="15" hidden="false" customHeight="true" outlineLevel="0" collapsed="false">
      <c r="A37" s="5" t="s">
        <v>30</v>
      </c>
      <c r="B37" s="6" t="s">
        <v>120</v>
      </c>
      <c r="C37" s="8" t="n">
        <f aca="false">'Materias Primas'!C17/1000</f>
        <v>8.6755</v>
      </c>
      <c r="D37" s="7" t="n">
        <f aca="false">('Materias Primas'!C17/1000)*30</f>
        <v>260.265</v>
      </c>
      <c r="E37" s="6"/>
      <c r="F37" s="6"/>
      <c r="G37" s="6"/>
    </row>
    <row r="38" customFormat="false" ht="15" hidden="false" customHeight="true" outlineLevel="0" collapsed="false">
      <c r="A38" s="9" t="s">
        <v>31</v>
      </c>
      <c r="B38" s="10" t="s">
        <v>131</v>
      </c>
      <c r="C38" s="12" t="n">
        <f aca="false">'Materias Primas'!C18/1000</f>
        <v>6</v>
      </c>
      <c r="D38" s="11" t="n">
        <f aca="false">('Materias Primas'!C18/1000)*15</f>
        <v>90</v>
      </c>
      <c r="E38" s="10"/>
      <c r="F38" s="10"/>
      <c r="G38" s="10"/>
    </row>
    <row r="39" customFormat="false" ht="15" hidden="false" customHeight="true" outlineLevel="0" collapsed="false">
      <c r="A39" s="5" t="s">
        <v>132</v>
      </c>
      <c r="B39" s="6" t="s">
        <v>133</v>
      </c>
      <c r="C39" s="8" t="n">
        <f aca="false">200/2</f>
        <v>100</v>
      </c>
      <c r="D39" s="7" t="n">
        <f aca="false">100</f>
        <v>100</v>
      </c>
      <c r="E39" s="6"/>
      <c r="F39" s="6"/>
      <c r="G39" s="6"/>
    </row>
    <row r="40" customFormat="false" ht="15" hidden="false" customHeight="true" outlineLevel="0" collapsed="false">
      <c r="A40" s="16" t="s">
        <v>134</v>
      </c>
      <c r="B40" s="3" t="n">
        <v>12</v>
      </c>
      <c r="C40" s="3"/>
      <c r="D40" s="17" t="n">
        <f aca="false">SUM(D35:D39)</f>
        <v>4200.265</v>
      </c>
      <c r="E40" s="17" t="n">
        <f aca="false">D40/B40</f>
        <v>350.022083333333</v>
      </c>
      <c r="F40" s="18" t="n">
        <v>1000</v>
      </c>
      <c r="G40" s="19" t="n">
        <f aca="false">(F40-E40)/F40</f>
        <v>0.649977916666667</v>
      </c>
    </row>
    <row r="42" customFormat="false" ht="21.75" hidden="false" customHeight="true" outlineLevel="0" collapsed="false">
      <c r="A42" s="15" t="s">
        <v>135</v>
      </c>
    </row>
    <row r="43" customFormat="false" ht="15.75" hidden="false" customHeight="true" outlineLevel="0" collapsed="false">
      <c r="A43" s="3" t="s">
        <v>93</v>
      </c>
      <c r="B43" s="3" t="s">
        <v>94</v>
      </c>
      <c r="C43" s="3" t="s">
        <v>95</v>
      </c>
      <c r="D43" s="3" t="s">
        <v>96</v>
      </c>
      <c r="E43" s="3"/>
      <c r="F43" s="3"/>
      <c r="G43" s="3"/>
    </row>
    <row r="44" customFormat="false" ht="15" hidden="false" customHeight="true" outlineLevel="0" collapsed="false">
      <c r="A44" s="5" t="s">
        <v>101</v>
      </c>
      <c r="B44" s="6" t="s">
        <v>102</v>
      </c>
      <c r="C44" s="8" t="n">
        <f aca="false">'Materias Primas'!C4/1000</f>
        <v>1.68118811881188</v>
      </c>
      <c r="D44" s="7" t="n">
        <f aca="false">('Materias Primas'!C4/1000)*1700</f>
        <v>2858.0198019802</v>
      </c>
      <c r="E44" s="6"/>
      <c r="F44" s="6"/>
      <c r="G44" s="6"/>
    </row>
    <row r="45" customFormat="false" ht="15" hidden="false" customHeight="true" outlineLevel="0" collapsed="false">
      <c r="A45" s="9" t="s">
        <v>61</v>
      </c>
      <c r="B45" s="10" t="s">
        <v>103</v>
      </c>
      <c r="C45" s="12" t="n">
        <f aca="false">'Materias Primas'!C40/500</f>
        <v>6.4</v>
      </c>
      <c r="D45" s="11" t="n">
        <f aca="false">('Materias Primas'!C40/500)*140</f>
        <v>896</v>
      </c>
      <c r="E45" s="10"/>
      <c r="F45" s="10"/>
      <c r="G45" s="10"/>
    </row>
    <row r="46" customFormat="false" ht="15" hidden="false" customHeight="true" outlineLevel="0" collapsed="false">
      <c r="A46" s="5" t="s">
        <v>37</v>
      </c>
      <c r="B46" s="6" t="s">
        <v>104</v>
      </c>
      <c r="C46" s="8" t="n">
        <f aca="false">'Materias Primas'!C22/1000</f>
        <v>1.0312</v>
      </c>
      <c r="D46" s="7" t="n">
        <f aca="false">('Materias Primas'!C22/1000)*100</f>
        <v>103.12</v>
      </c>
      <c r="E46" s="6"/>
      <c r="F46" s="6"/>
      <c r="G46" s="6"/>
    </row>
    <row r="47" customFormat="false" ht="15" hidden="false" customHeight="true" outlineLevel="0" collapsed="false">
      <c r="A47" s="9" t="s">
        <v>59</v>
      </c>
      <c r="B47" s="10" t="s">
        <v>105</v>
      </c>
      <c r="C47" s="12" t="n">
        <f aca="false">'Materias Primas'!C39/1500</f>
        <v>3.2352</v>
      </c>
      <c r="D47" s="11" t="n">
        <f aca="false">('Materias Primas'!C39/1500)*100</f>
        <v>323.52</v>
      </c>
      <c r="E47" s="10"/>
      <c r="F47" s="10"/>
      <c r="G47" s="10"/>
    </row>
    <row r="48" customFormat="false" ht="15" hidden="false" customHeight="true" outlineLevel="0" collapsed="false">
      <c r="A48" s="5" t="s">
        <v>33</v>
      </c>
      <c r="B48" s="6" t="s">
        <v>106</v>
      </c>
      <c r="C48" s="8" t="n">
        <f aca="false">'Materias Primas'!C20/30</f>
        <v>150</v>
      </c>
      <c r="D48" s="7" t="n">
        <f aca="false">('Materias Primas'!C20/30)*6</f>
        <v>900</v>
      </c>
      <c r="E48" s="6"/>
      <c r="F48" s="6"/>
      <c r="G48" s="6"/>
    </row>
    <row r="49" customFormat="false" ht="15" hidden="false" customHeight="true" outlineLevel="0" collapsed="false">
      <c r="A49" s="9" t="s">
        <v>136</v>
      </c>
      <c r="B49" s="10" t="s">
        <v>112</v>
      </c>
      <c r="C49" s="12" t="n">
        <f aca="false">'Materias Primas'!C44</f>
        <v>501.8</v>
      </c>
      <c r="D49" s="11" t="n">
        <f aca="false">'Materias Primas'!C44</f>
        <v>501.8</v>
      </c>
      <c r="E49" s="10"/>
      <c r="F49" s="10"/>
      <c r="G49" s="10"/>
    </row>
    <row r="50" customFormat="false" ht="15" hidden="false" customHeight="true" outlineLevel="0" collapsed="false">
      <c r="A50" s="5" t="s">
        <v>137</v>
      </c>
      <c r="B50" s="6" t="s">
        <v>138</v>
      </c>
      <c r="C50" s="8" t="n">
        <f aca="false">250/10</f>
        <v>25</v>
      </c>
      <c r="D50" s="7" t="n">
        <f aca="false">250</f>
        <v>250</v>
      </c>
      <c r="E50" s="6"/>
      <c r="F50" s="6"/>
      <c r="G50" s="6"/>
    </row>
    <row r="51" customFormat="false" ht="15" hidden="false" customHeight="true" outlineLevel="0" collapsed="false">
      <c r="A51" s="16" t="s">
        <v>139</v>
      </c>
      <c r="B51" s="3" t="n">
        <v>10</v>
      </c>
      <c r="C51" s="3"/>
      <c r="D51" s="17" t="n">
        <f aca="false">SUM(D44:D50)</f>
        <v>5832.4598019802</v>
      </c>
      <c r="E51" s="17" t="n">
        <f aca="false">D51/B51</f>
        <v>583.24598019802</v>
      </c>
      <c r="F51" s="18" t="n">
        <v>4000</v>
      </c>
      <c r="G51" s="19" t="n">
        <f aca="false">(F51-E51)/F51</f>
        <v>0.854188504950495</v>
      </c>
    </row>
    <row r="53" customFormat="false" ht="21.75" hidden="false" customHeight="true" outlineLevel="0" collapsed="false">
      <c r="A53" s="15" t="s">
        <v>140</v>
      </c>
    </row>
    <row r="54" customFormat="false" ht="15.75" hidden="false" customHeight="true" outlineLevel="0" collapsed="false">
      <c r="A54" s="3" t="s">
        <v>93</v>
      </c>
      <c r="B54" s="3" t="s">
        <v>94</v>
      </c>
      <c r="C54" s="3" t="s">
        <v>95</v>
      </c>
      <c r="D54" s="3" t="s">
        <v>96</v>
      </c>
      <c r="E54" s="3"/>
      <c r="F54" s="3"/>
      <c r="G54" s="3"/>
    </row>
    <row r="55" customFormat="false" ht="15" hidden="false" customHeight="true" outlineLevel="0" collapsed="false">
      <c r="A55" s="5" t="s">
        <v>141</v>
      </c>
      <c r="B55" s="6" t="s">
        <v>112</v>
      </c>
      <c r="C55" s="8" t="s">
        <v>142</v>
      </c>
      <c r="D55" s="7" t="n">
        <f aca="false">D51/10</f>
        <v>583.24598019802</v>
      </c>
      <c r="E55" s="6"/>
      <c r="F55" s="6"/>
      <c r="G55" s="6"/>
    </row>
    <row r="56" customFormat="false" ht="15" hidden="false" customHeight="true" outlineLevel="0" collapsed="false">
      <c r="A56" s="9" t="s">
        <v>32</v>
      </c>
      <c r="B56" s="10" t="s">
        <v>143</v>
      </c>
      <c r="C56" s="12" t="n">
        <f aca="false">'Materias Primas'!C19/1000</f>
        <v>5.8999</v>
      </c>
      <c r="D56" s="11" t="n">
        <f aca="false">('Materias Primas'!C19/1000)*250</f>
        <v>1474.975</v>
      </c>
      <c r="E56" s="10"/>
      <c r="F56" s="10"/>
      <c r="G56" s="10"/>
    </row>
    <row r="57" customFormat="false" ht="15" hidden="false" customHeight="true" outlineLevel="0" collapsed="false">
      <c r="A57" s="5" t="s">
        <v>144</v>
      </c>
      <c r="B57" s="6" t="s">
        <v>112</v>
      </c>
      <c r="C57" s="8" t="n">
        <f aca="false">'Materias Primas'!C52</f>
        <v>400</v>
      </c>
      <c r="D57" s="7" t="n">
        <f aca="false">'Materias Primas'!C52</f>
        <v>400</v>
      </c>
      <c r="E57" s="6"/>
      <c r="F57" s="6"/>
      <c r="G57" s="6"/>
    </row>
    <row r="58" customFormat="false" ht="15" hidden="false" customHeight="true" outlineLevel="0" collapsed="false">
      <c r="A58" s="16" t="s">
        <v>145</v>
      </c>
      <c r="B58" s="3" t="n">
        <v>1</v>
      </c>
      <c r="C58" s="3"/>
      <c r="D58" s="17" t="n">
        <f aca="false">SUM(D55:D57)</f>
        <v>2458.22098019802</v>
      </c>
      <c r="E58" s="17" t="n">
        <f aca="false">D58/B58</f>
        <v>2458.22098019802</v>
      </c>
      <c r="F58" s="18" t="n">
        <v>8500</v>
      </c>
      <c r="G58" s="19" t="n">
        <f aca="false">(F58-E58)/F58</f>
        <v>0.71079753174141</v>
      </c>
    </row>
    <row r="60" customFormat="false" ht="21.75" hidden="false" customHeight="true" outlineLevel="0" collapsed="false">
      <c r="A60" s="15" t="s">
        <v>146</v>
      </c>
    </row>
    <row r="61" customFormat="false" ht="15.75" hidden="false" customHeight="true" outlineLevel="0" collapsed="false">
      <c r="A61" s="3" t="s">
        <v>93</v>
      </c>
      <c r="B61" s="3" t="s">
        <v>94</v>
      </c>
      <c r="C61" s="3" t="s">
        <v>95</v>
      </c>
      <c r="D61" s="3" t="s">
        <v>96</v>
      </c>
      <c r="E61" s="3"/>
      <c r="F61" s="3"/>
      <c r="G61" s="3"/>
    </row>
    <row r="62" customFormat="false" ht="15" hidden="false" customHeight="true" outlineLevel="0" collapsed="false">
      <c r="A62" s="5" t="s">
        <v>101</v>
      </c>
      <c r="B62" s="6" t="s">
        <v>143</v>
      </c>
      <c r="C62" s="8" t="n">
        <f aca="false">'Materias Primas'!C4/1000</f>
        <v>1.68118811881188</v>
      </c>
      <c r="D62" s="7" t="n">
        <f aca="false">('Materias Primas'!C4/1000)*250</f>
        <v>420.29702970297</v>
      </c>
      <c r="E62" s="6"/>
      <c r="F62" s="6"/>
      <c r="G62" s="6"/>
    </row>
    <row r="63" customFormat="false" ht="15" hidden="false" customHeight="true" outlineLevel="0" collapsed="false">
      <c r="A63" s="9" t="s">
        <v>111</v>
      </c>
      <c r="B63" s="10" t="s">
        <v>112</v>
      </c>
      <c r="C63" s="12" t="n">
        <f aca="false">'Materias Primas'!C20/30</f>
        <v>150</v>
      </c>
      <c r="D63" s="11" t="n">
        <f aca="false">('Materias Primas'!C20/30)*1</f>
        <v>150</v>
      </c>
      <c r="E63" s="10"/>
      <c r="F63" s="10"/>
      <c r="G63" s="10"/>
    </row>
    <row r="64" customFormat="false" ht="15" hidden="false" customHeight="true" outlineLevel="0" collapsed="false">
      <c r="A64" s="5" t="s">
        <v>25</v>
      </c>
      <c r="B64" s="6" t="s">
        <v>104</v>
      </c>
      <c r="C64" s="8" t="n">
        <f aca="false">'Materias Primas'!C15/2500</f>
        <v>11.79416</v>
      </c>
      <c r="D64" s="7" t="n">
        <f aca="false">('Materias Primas'!C15/2500)*100</f>
        <v>1179.416</v>
      </c>
      <c r="E64" s="6"/>
      <c r="F64" s="6"/>
      <c r="G64" s="6"/>
    </row>
    <row r="65" customFormat="false" ht="15" hidden="false" customHeight="true" outlineLevel="0" collapsed="false">
      <c r="A65" s="9" t="s">
        <v>37</v>
      </c>
      <c r="B65" s="10" t="s">
        <v>147</v>
      </c>
      <c r="C65" s="12" t="n">
        <f aca="false">'Materias Primas'!C22/1000</f>
        <v>1.0312</v>
      </c>
      <c r="D65" s="11" t="n">
        <f aca="false">('Materias Primas'!C22/1000)*70</f>
        <v>72.184</v>
      </c>
      <c r="E65" s="10"/>
      <c r="F65" s="10"/>
      <c r="G65" s="10"/>
    </row>
    <row r="66" customFormat="false" ht="15" hidden="false" customHeight="true" outlineLevel="0" collapsed="false">
      <c r="A66" s="5" t="s">
        <v>38</v>
      </c>
      <c r="B66" s="6" t="s">
        <v>110</v>
      </c>
      <c r="C66" s="8" t="n">
        <f aca="false">'Materias Primas'!C23/1000</f>
        <v>1.3</v>
      </c>
      <c r="D66" s="7" t="n">
        <f aca="false">('Materias Primas'!C23/1000)*50</f>
        <v>65</v>
      </c>
      <c r="E66" s="6"/>
      <c r="F66" s="6"/>
      <c r="G66" s="6"/>
    </row>
    <row r="67" customFormat="false" ht="15" hidden="false" customHeight="true" outlineLevel="0" collapsed="false">
      <c r="A67" s="9" t="s">
        <v>64</v>
      </c>
      <c r="B67" s="10" t="s">
        <v>114</v>
      </c>
      <c r="C67" s="12" t="n">
        <f aca="false">'Materias Primas'!C42/2000</f>
        <v>2.9</v>
      </c>
      <c r="D67" s="11" t="n">
        <f aca="false">('Materias Primas'!C42/2000)*10</f>
        <v>29</v>
      </c>
      <c r="E67" s="10"/>
      <c r="F67" s="10"/>
      <c r="G67" s="10"/>
    </row>
    <row r="68" customFormat="false" ht="15" hidden="false" customHeight="true" outlineLevel="0" collapsed="false">
      <c r="A68" s="5" t="s">
        <v>63</v>
      </c>
      <c r="B68" s="6" t="s">
        <v>148</v>
      </c>
      <c r="C68" s="8" t="n">
        <f aca="false">'Materias Primas'!C41/1000</f>
        <v>10</v>
      </c>
      <c r="D68" s="7" t="n">
        <f aca="false">('Materias Primas'!C41/1000)*3</f>
        <v>30</v>
      </c>
      <c r="E68" s="6"/>
      <c r="F68" s="6"/>
      <c r="G68" s="6"/>
    </row>
    <row r="69" customFormat="false" ht="15" hidden="false" customHeight="true" outlineLevel="0" collapsed="false">
      <c r="A69" s="16" t="s">
        <v>149</v>
      </c>
      <c r="B69" s="3" t="n">
        <v>7</v>
      </c>
      <c r="C69" s="3"/>
      <c r="D69" s="17" t="n">
        <f aca="false">SUM(D62:D68)</f>
        <v>1945.89702970297</v>
      </c>
      <c r="E69" s="17" t="n">
        <f aca="false">D69/B69</f>
        <v>277.985289957567</v>
      </c>
      <c r="F69" s="20" t="s">
        <v>150</v>
      </c>
      <c r="G69" s="10"/>
    </row>
    <row r="71" customFormat="false" ht="21.75" hidden="false" customHeight="true" outlineLevel="0" collapsed="false">
      <c r="A71" s="15" t="s">
        <v>151</v>
      </c>
    </row>
    <row r="72" customFormat="false" ht="15.75" hidden="false" customHeight="true" outlineLevel="0" collapsed="false">
      <c r="A72" s="3" t="s">
        <v>93</v>
      </c>
      <c r="B72" s="3" t="s">
        <v>94</v>
      </c>
      <c r="C72" s="3" t="s">
        <v>95</v>
      </c>
      <c r="D72" s="3" t="s">
        <v>96</v>
      </c>
      <c r="E72" s="3"/>
      <c r="F72" s="3"/>
      <c r="G72" s="3"/>
    </row>
    <row r="73" customFormat="false" ht="15" hidden="false" customHeight="true" outlineLevel="0" collapsed="false">
      <c r="A73" s="5" t="s">
        <v>152</v>
      </c>
      <c r="B73" s="6" t="s">
        <v>112</v>
      </c>
      <c r="C73" s="8" t="s">
        <v>142</v>
      </c>
      <c r="D73" s="7" t="n">
        <f aca="false">D69/B69</f>
        <v>277.985289957567</v>
      </c>
      <c r="E73" s="6"/>
      <c r="F73" s="6"/>
      <c r="G73" s="6"/>
    </row>
    <row r="74" customFormat="false" ht="15" hidden="false" customHeight="true" outlineLevel="0" collapsed="false">
      <c r="A74" s="9" t="s">
        <v>76</v>
      </c>
      <c r="B74" s="10" t="s">
        <v>112</v>
      </c>
      <c r="C74" s="12" t="n">
        <f aca="false">'Materias Primas'!C49/10</f>
        <v>280</v>
      </c>
      <c r="D74" s="11" t="n">
        <f aca="false">'Materias Primas'!C49/10</f>
        <v>280</v>
      </c>
      <c r="E74" s="10"/>
      <c r="F74" s="10"/>
      <c r="G74" s="10"/>
    </row>
    <row r="75" customFormat="false" ht="15" hidden="false" customHeight="true" outlineLevel="0" collapsed="false">
      <c r="A75" s="5" t="s">
        <v>47</v>
      </c>
      <c r="B75" s="6" t="s">
        <v>153</v>
      </c>
      <c r="C75" s="8" t="n">
        <f aca="false">'Materias Primas'!C30/10000</f>
        <v>1.4625</v>
      </c>
      <c r="D75" s="7" t="n">
        <f aca="false">('Materias Primas'!C30/10000)*10</f>
        <v>14.625</v>
      </c>
      <c r="E75" s="6"/>
      <c r="F75" s="6"/>
      <c r="G75" s="6"/>
    </row>
    <row r="76" customFormat="false" ht="15" hidden="false" customHeight="true" outlineLevel="0" collapsed="false">
      <c r="A76" s="9" t="s">
        <v>154</v>
      </c>
      <c r="B76" s="10" t="s">
        <v>112</v>
      </c>
      <c r="C76" s="12" t="n">
        <f aca="false">'Materias Primas'!C55</f>
        <v>6.67</v>
      </c>
      <c r="D76" s="11" t="n">
        <f aca="false">'Materias Primas'!C55</f>
        <v>6.67</v>
      </c>
      <c r="E76" s="10"/>
      <c r="F76" s="10"/>
      <c r="G76" s="10"/>
    </row>
    <row r="77" customFormat="false" ht="15" hidden="false" customHeight="true" outlineLevel="0" collapsed="false">
      <c r="A77" s="16" t="s">
        <v>155</v>
      </c>
      <c r="B77" s="3" t="n">
        <v>1</v>
      </c>
      <c r="C77" s="3"/>
      <c r="D77" s="17" t="n">
        <f aca="false">SUM(D73:D76)</f>
        <v>579.280289957567</v>
      </c>
      <c r="E77" s="17" t="n">
        <f aca="false">D77/B77</f>
        <v>579.280289957567</v>
      </c>
      <c r="F77" s="18" t="n">
        <v>2500</v>
      </c>
      <c r="G77" s="19" t="n">
        <f aca="false">(F77-E77)/F77</f>
        <v>0.768287884016973</v>
      </c>
    </row>
    <row r="79" customFormat="false" ht="21.75" hidden="false" customHeight="true" outlineLevel="0" collapsed="false">
      <c r="A79" s="15" t="s">
        <v>156</v>
      </c>
    </row>
    <row r="80" customFormat="false" ht="15.75" hidden="false" customHeight="true" outlineLevel="0" collapsed="false">
      <c r="A80" s="3" t="s">
        <v>93</v>
      </c>
      <c r="B80" s="3" t="s">
        <v>94</v>
      </c>
      <c r="C80" s="3" t="s">
        <v>95</v>
      </c>
      <c r="D80" s="3" t="s">
        <v>96</v>
      </c>
      <c r="E80" s="3"/>
      <c r="F80" s="3"/>
      <c r="G80" s="3"/>
    </row>
    <row r="81" customFormat="false" ht="15" hidden="false" customHeight="true" outlineLevel="0" collapsed="false">
      <c r="A81" s="5" t="s">
        <v>101</v>
      </c>
      <c r="B81" s="6" t="s">
        <v>157</v>
      </c>
      <c r="C81" s="8" t="n">
        <f aca="false">'Materias Primas'!C4/1000</f>
        <v>1.68118811881188</v>
      </c>
      <c r="D81" s="7" t="n">
        <f aca="false">('Materias Primas'!C4/1000)*380</f>
        <v>638.851485148515</v>
      </c>
      <c r="E81" s="6"/>
      <c r="F81" s="6"/>
      <c r="G81" s="6"/>
    </row>
    <row r="82" customFormat="false" ht="15" hidden="false" customHeight="true" outlineLevel="0" collapsed="false">
      <c r="A82" s="9" t="s">
        <v>33</v>
      </c>
      <c r="B82" s="10" t="s">
        <v>122</v>
      </c>
      <c r="C82" s="12" t="n">
        <f aca="false">'Materias Primas'!C20/30</f>
        <v>150</v>
      </c>
      <c r="D82" s="11" t="n">
        <f aca="false">('Materias Primas'!C20/30)*2</f>
        <v>300</v>
      </c>
      <c r="E82" s="10"/>
      <c r="F82" s="10"/>
      <c r="G82" s="10"/>
    </row>
    <row r="83" customFormat="false" ht="15" hidden="false" customHeight="true" outlineLevel="0" collapsed="false">
      <c r="A83" s="5" t="s">
        <v>37</v>
      </c>
      <c r="B83" s="6" t="s">
        <v>158</v>
      </c>
      <c r="C83" s="8" t="n">
        <f aca="false">'Materias Primas'!C22/1000</f>
        <v>1.0312</v>
      </c>
      <c r="D83" s="7" t="n">
        <f aca="false">('Materias Primas'!C22/1000)*125</f>
        <v>128.9</v>
      </c>
      <c r="E83" s="6"/>
      <c r="F83" s="6"/>
      <c r="G83" s="6"/>
    </row>
    <row r="84" customFormat="false" ht="15" hidden="false" customHeight="true" outlineLevel="0" collapsed="false">
      <c r="A84" s="9" t="s">
        <v>25</v>
      </c>
      <c r="B84" s="10" t="s">
        <v>159</v>
      </c>
      <c r="C84" s="12" t="n">
        <f aca="false">'Materias Primas'!C15/2500</f>
        <v>11.79416</v>
      </c>
      <c r="D84" s="11" t="n">
        <f aca="false">('Materias Primas'!C15/2500)*55</f>
        <v>648.6788</v>
      </c>
      <c r="E84" s="10"/>
      <c r="F84" s="10"/>
      <c r="G84" s="10"/>
    </row>
    <row r="85" customFormat="false" ht="15" hidden="false" customHeight="true" outlineLevel="0" collapsed="false">
      <c r="A85" s="5" t="s">
        <v>160</v>
      </c>
      <c r="B85" s="6" t="s">
        <v>161</v>
      </c>
      <c r="C85" s="8" t="n">
        <f aca="false">'Materias Primas'!C27/800</f>
        <v>13.25</v>
      </c>
      <c r="D85" s="7" t="n">
        <f aca="false">('Materias Primas'!C27/800)*85</f>
        <v>1126.25</v>
      </c>
      <c r="E85" s="6"/>
      <c r="F85" s="6"/>
      <c r="G85" s="6"/>
    </row>
    <row r="86" customFormat="false" ht="15" hidden="false" customHeight="true" outlineLevel="0" collapsed="false">
      <c r="A86" s="9" t="s">
        <v>63</v>
      </c>
      <c r="B86" s="10" t="s">
        <v>153</v>
      </c>
      <c r="C86" s="12" t="n">
        <f aca="false">'Materias Primas'!C41/1000</f>
        <v>10</v>
      </c>
      <c r="D86" s="11" t="n">
        <f aca="false">('Materias Primas'!C41/1000)*10</f>
        <v>100</v>
      </c>
      <c r="E86" s="10"/>
      <c r="F86" s="10"/>
      <c r="G86" s="10"/>
    </row>
    <row r="87" customFormat="false" ht="15" hidden="false" customHeight="true" outlineLevel="0" collapsed="false">
      <c r="A87" s="5" t="s">
        <v>79</v>
      </c>
      <c r="B87" s="6" t="s">
        <v>162</v>
      </c>
      <c r="C87" s="8" t="n">
        <f aca="false">'Materias Primas'!C51/240</f>
        <v>54.1666666666667</v>
      </c>
      <c r="D87" s="7" t="n">
        <f aca="false">'Materias Primas'!C51/240</f>
        <v>54.1666666666667</v>
      </c>
      <c r="E87" s="6"/>
      <c r="F87" s="6"/>
      <c r="G87" s="6"/>
    </row>
    <row r="88" customFormat="false" ht="15" hidden="false" customHeight="true" outlineLevel="0" collapsed="false">
      <c r="A88" s="16" t="s">
        <v>163</v>
      </c>
      <c r="B88" s="3" t="n">
        <v>4</v>
      </c>
      <c r="C88" s="3"/>
      <c r="D88" s="17" t="n">
        <f aca="false">SUM(D81:D87)</f>
        <v>2996.84695181518</v>
      </c>
      <c r="E88" s="17" t="n">
        <f aca="false">D88/B88</f>
        <v>749.211737953795</v>
      </c>
      <c r="F88" s="18" t="n">
        <v>2500</v>
      </c>
      <c r="G88" s="19" t="n">
        <f aca="false">(F88-E88)/F88</f>
        <v>0.700315304818482</v>
      </c>
    </row>
    <row r="89" customFormat="false" ht="15" hidden="false" customHeight="true" outlineLevel="0" collapsed="false">
      <c r="A89" s="16" t="s">
        <v>164</v>
      </c>
      <c r="B89" s="3" t="n">
        <v>1</v>
      </c>
      <c r="C89" s="3"/>
      <c r="D89" s="17" t="n">
        <f aca="false">SUM(D81:D87)</f>
        <v>2996.84695181518</v>
      </c>
      <c r="E89" s="17" t="n">
        <f aca="false">D89/B89</f>
        <v>2996.84695181518</v>
      </c>
      <c r="F89" s="18" t="n">
        <v>12000</v>
      </c>
      <c r="G89" s="19" t="n">
        <f aca="false">(F89-E89)/F89</f>
        <v>0.750262754015402</v>
      </c>
    </row>
    <row r="91" customFormat="false" ht="21.75" hidden="false" customHeight="true" outlineLevel="0" collapsed="false">
      <c r="A91" s="21" t="s">
        <v>165</v>
      </c>
    </row>
    <row r="92" customFormat="false" ht="15.75" hidden="false" customHeight="true" outlineLevel="0" collapsed="false">
      <c r="A92" s="3" t="s">
        <v>93</v>
      </c>
      <c r="B92" s="3" t="s">
        <v>94</v>
      </c>
      <c r="C92" s="3" t="s">
        <v>95</v>
      </c>
      <c r="D92" s="3" t="s">
        <v>96</v>
      </c>
      <c r="E92" s="3"/>
      <c r="F92" s="3"/>
      <c r="G92" s="3"/>
    </row>
    <row r="93" customFormat="false" ht="15" hidden="false" customHeight="true" outlineLevel="0" collapsed="false">
      <c r="A93" s="5" t="s">
        <v>101</v>
      </c>
      <c r="B93" s="6" t="s">
        <v>143</v>
      </c>
      <c r="C93" s="8" t="n">
        <f aca="false">'Materias Primas'!C4/1000</f>
        <v>1.68118811881188</v>
      </c>
      <c r="D93" s="7" t="n">
        <f aca="false">('Materias Primas'!C4/1000)*250</f>
        <v>420.29702970297</v>
      </c>
      <c r="E93" s="6"/>
      <c r="F93" s="6"/>
      <c r="G93" s="6"/>
    </row>
    <row r="94" customFormat="false" ht="15" hidden="false" customHeight="true" outlineLevel="0" collapsed="false">
      <c r="A94" s="9" t="s">
        <v>111</v>
      </c>
      <c r="B94" s="10" t="s">
        <v>112</v>
      </c>
      <c r="C94" s="12" t="n">
        <f aca="false">'Materias Primas'!C20/30</f>
        <v>150</v>
      </c>
      <c r="D94" s="11" t="n">
        <f aca="false">('Materias Primas'!C20/30)*1</f>
        <v>150</v>
      </c>
      <c r="E94" s="10"/>
      <c r="F94" s="10"/>
      <c r="G94" s="10"/>
    </row>
    <row r="95" customFormat="false" ht="15" hidden="false" customHeight="true" outlineLevel="0" collapsed="false">
      <c r="A95" s="5" t="s">
        <v>25</v>
      </c>
      <c r="B95" s="6" t="s">
        <v>104</v>
      </c>
      <c r="C95" s="8" t="n">
        <f aca="false">'Materias Primas'!C15/2500</f>
        <v>11.79416</v>
      </c>
      <c r="D95" s="7" t="n">
        <f aca="false">('Materias Primas'!C15/2500)*100</f>
        <v>1179.416</v>
      </c>
      <c r="E95" s="6"/>
      <c r="F95" s="6"/>
      <c r="G95" s="6"/>
    </row>
    <row r="96" customFormat="false" ht="15" hidden="false" customHeight="true" outlineLevel="0" collapsed="false">
      <c r="A96" s="9" t="s">
        <v>37</v>
      </c>
      <c r="B96" s="10" t="s">
        <v>110</v>
      </c>
      <c r="C96" s="12" t="n">
        <f aca="false">'Materias Primas'!C22/1000</f>
        <v>1.0312</v>
      </c>
      <c r="D96" s="11" t="n">
        <f aca="false">('Materias Primas'!C22/1000)*50</f>
        <v>51.56</v>
      </c>
      <c r="E96" s="10"/>
      <c r="F96" s="10"/>
      <c r="G96" s="10"/>
    </row>
    <row r="97" customFormat="false" ht="15" hidden="false" customHeight="true" outlineLevel="0" collapsed="false">
      <c r="A97" s="16" t="s">
        <v>166</v>
      </c>
      <c r="B97" s="3" t="n">
        <v>10</v>
      </c>
      <c r="C97" s="3"/>
      <c r="D97" s="17" t="n">
        <f aca="false">SUM(D93:D96)</f>
        <v>1801.27302970297</v>
      </c>
      <c r="E97" s="17" t="n">
        <f aca="false">D97/B97</f>
        <v>180.127302970297</v>
      </c>
      <c r="F97" s="20" t="s">
        <v>150</v>
      </c>
      <c r="G97" s="10"/>
    </row>
    <row r="99" customFormat="false" ht="21.75" hidden="false" customHeight="true" outlineLevel="0" collapsed="false">
      <c r="A99" s="21" t="s">
        <v>167</v>
      </c>
    </row>
    <row r="100" customFormat="false" ht="15.75" hidden="false" customHeight="true" outlineLevel="0" collapsed="false">
      <c r="A100" s="3" t="s">
        <v>93</v>
      </c>
      <c r="B100" s="3" t="s">
        <v>94</v>
      </c>
      <c r="C100" s="3" t="s">
        <v>95</v>
      </c>
      <c r="D100" s="3" t="s">
        <v>96</v>
      </c>
      <c r="E100" s="3"/>
      <c r="F100" s="3"/>
      <c r="G100" s="3"/>
    </row>
    <row r="101" customFormat="false" ht="15" hidden="false" customHeight="true" outlineLevel="0" collapsed="false">
      <c r="A101" s="5" t="s">
        <v>168</v>
      </c>
      <c r="B101" s="6" t="s">
        <v>169</v>
      </c>
      <c r="C101" s="8" t="s">
        <v>142</v>
      </c>
      <c r="D101" s="7" t="n">
        <f aca="false">D97/450*60</f>
        <v>240.169737293729</v>
      </c>
      <c r="E101" s="6"/>
      <c r="F101" s="6"/>
      <c r="G101" s="6"/>
    </row>
    <row r="102" customFormat="false" ht="15" hidden="false" customHeight="true" outlineLevel="0" collapsed="false">
      <c r="A102" s="9" t="s">
        <v>170</v>
      </c>
      <c r="B102" s="10" t="s">
        <v>171</v>
      </c>
      <c r="C102" s="12" t="n">
        <f aca="false">'Materias Primas'!C32/5000</f>
        <v>2.97952</v>
      </c>
      <c r="D102" s="11" t="n">
        <f aca="false">('Materias Primas'!C32/5000)*25</f>
        <v>74.488</v>
      </c>
      <c r="E102" s="10"/>
      <c r="F102" s="10"/>
      <c r="G102" s="10"/>
    </row>
    <row r="103" customFormat="false" ht="15" hidden="false" customHeight="true" outlineLevel="0" collapsed="false">
      <c r="A103" s="16" t="s">
        <v>172</v>
      </c>
      <c r="B103" s="3" t="n">
        <v>1</v>
      </c>
      <c r="C103" s="3"/>
      <c r="D103" s="17" t="n">
        <f aca="false">SUM(D101:D102)</f>
        <v>314.657737293729</v>
      </c>
      <c r="E103" s="17" t="n">
        <f aca="false">D103/B103</f>
        <v>314.657737293729</v>
      </c>
      <c r="F103" s="18" t="n">
        <v>2500</v>
      </c>
      <c r="G103" s="19" t="n">
        <f aca="false">(F103-E103)/F103</f>
        <v>0.874136905082508</v>
      </c>
    </row>
    <row r="105" customFormat="false" ht="21.75" hidden="false" customHeight="true" outlineLevel="0" collapsed="false">
      <c r="A105" s="21" t="s">
        <v>173</v>
      </c>
    </row>
    <row r="106" customFormat="false" ht="15.75" hidden="false" customHeight="true" outlineLevel="0" collapsed="false">
      <c r="A106" s="3" t="s">
        <v>93</v>
      </c>
      <c r="B106" s="3" t="s">
        <v>94</v>
      </c>
      <c r="C106" s="3" t="s">
        <v>95</v>
      </c>
      <c r="D106" s="3" t="s">
        <v>96</v>
      </c>
      <c r="E106" s="3"/>
      <c r="F106" s="3"/>
      <c r="G106" s="3"/>
    </row>
    <row r="107" customFormat="false" ht="15" hidden="false" customHeight="true" outlineLevel="0" collapsed="false">
      <c r="A107" s="5" t="s">
        <v>174</v>
      </c>
      <c r="B107" s="6" t="s">
        <v>175</v>
      </c>
      <c r="C107" s="8" t="s">
        <v>142</v>
      </c>
      <c r="D107" s="7" t="n">
        <f aca="false">D97/450*45</f>
        <v>180.127302970297</v>
      </c>
      <c r="E107" s="6"/>
      <c r="F107" s="6"/>
      <c r="G107" s="6"/>
    </row>
    <row r="108" customFormat="false" ht="15" hidden="false" customHeight="true" outlineLevel="0" collapsed="false">
      <c r="A108" s="9" t="s">
        <v>47</v>
      </c>
      <c r="B108" s="10" t="s">
        <v>176</v>
      </c>
      <c r="C108" s="12" t="n">
        <f aca="false">'Materias Primas'!C30/10000</f>
        <v>1.4625</v>
      </c>
      <c r="D108" s="11" t="n">
        <f aca="false">('Materias Primas'!C30/10000)*20</f>
        <v>29.25</v>
      </c>
      <c r="E108" s="10"/>
      <c r="F108" s="10"/>
      <c r="G108" s="10"/>
    </row>
    <row r="109" customFormat="false" ht="15" hidden="false" customHeight="true" outlineLevel="0" collapsed="false">
      <c r="A109" s="5" t="s">
        <v>160</v>
      </c>
      <c r="B109" s="6" t="s">
        <v>153</v>
      </c>
      <c r="C109" s="8" t="n">
        <f aca="false">'Materias Primas'!C27/800</f>
        <v>13.25</v>
      </c>
      <c r="D109" s="7" t="n">
        <f aca="false">('Materias Primas'!C27/800)*10</f>
        <v>132.5</v>
      </c>
      <c r="E109" s="6"/>
      <c r="F109" s="6"/>
      <c r="G109" s="6"/>
    </row>
    <row r="110" customFormat="false" ht="15" hidden="false" customHeight="true" outlineLevel="0" collapsed="false">
      <c r="A110" s="16" t="s">
        <v>177</v>
      </c>
      <c r="B110" s="3" t="n">
        <v>1</v>
      </c>
      <c r="C110" s="3"/>
      <c r="D110" s="17" t="n">
        <f aca="false">SUM(D107:D109)</f>
        <v>341.877302970297</v>
      </c>
      <c r="E110" s="17" t="n">
        <f aca="false">D110/B110</f>
        <v>341.877302970297</v>
      </c>
      <c r="F110" s="18" t="n">
        <v>2500</v>
      </c>
      <c r="G110" s="19" t="n">
        <f aca="false">(F110-E110)/F110</f>
        <v>0.863249078811881</v>
      </c>
    </row>
    <row r="112" customFormat="false" ht="21.75" hidden="false" customHeight="true" outlineLevel="0" collapsed="false">
      <c r="A112" s="21" t="s">
        <v>178</v>
      </c>
    </row>
    <row r="113" customFormat="false" ht="15.75" hidden="false" customHeight="true" outlineLevel="0" collapsed="false">
      <c r="A113" s="3" t="s">
        <v>93</v>
      </c>
      <c r="B113" s="3" t="s">
        <v>94</v>
      </c>
      <c r="C113" s="3" t="s">
        <v>95</v>
      </c>
      <c r="D113" s="3" t="s">
        <v>96</v>
      </c>
      <c r="E113" s="3"/>
      <c r="F113" s="3"/>
      <c r="G113" s="3"/>
    </row>
    <row r="114" customFormat="false" ht="15" hidden="false" customHeight="true" outlineLevel="0" collapsed="false">
      <c r="A114" s="5" t="s">
        <v>179</v>
      </c>
      <c r="B114" s="6" t="s">
        <v>158</v>
      </c>
      <c r="C114" s="8" t="n">
        <f aca="false">'Materias Primas'!C6/10000</f>
        <v>2.31</v>
      </c>
      <c r="D114" s="7" t="n">
        <f aca="false">('Materias Primas'!C6/10000)*125</f>
        <v>288.75</v>
      </c>
      <c r="E114" s="6"/>
      <c r="F114" s="6"/>
      <c r="G114" s="6"/>
    </row>
    <row r="115" customFormat="false" ht="15" hidden="false" customHeight="true" outlineLevel="0" collapsed="false">
      <c r="A115" s="9" t="s">
        <v>25</v>
      </c>
      <c r="B115" s="10" t="s">
        <v>171</v>
      </c>
      <c r="C115" s="12" t="n">
        <f aca="false">'Materias Primas'!C15/2500</f>
        <v>11.79416</v>
      </c>
      <c r="D115" s="11" t="n">
        <f aca="false">('Materias Primas'!C15/2500)*25</f>
        <v>294.854</v>
      </c>
      <c r="E115" s="10"/>
      <c r="F115" s="10"/>
      <c r="G115" s="10"/>
    </row>
    <row r="116" customFormat="false" ht="15" hidden="false" customHeight="true" outlineLevel="0" collapsed="false">
      <c r="A116" s="5" t="s">
        <v>30</v>
      </c>
      <c r="B116" s="6" t="s">
        <v>180</v>
      </c>
      <c r="C116" s="8" t="n">
        <f aca="false">'Materias Primas'!C17/1000</f>
        <v>8.6755</v>
      </c>
      <c r="D116" s="7" t="n">
        <f aca="false">('Materias Primas'!C17/1000)*80</f>
        <v>694.04</v>
      </c>
      <c r="E116" s="6"/>
      <c r="F116" s="6"/>
      <c r="G116" s="6"/>
    </row>
    <row r="117" customFormat="false" ht="15" hidden="false" customHeight="true" outlineLevel="0" collapsed="false">
      <c r="A117" s="9" t="s">
        <v>181</v>
      </c>
      <c r="B117" s="10" t="s">
        <v>148</v>
      </c>
      <c r="C117" s="12" t="s">
        <v>142</v>
      </c>
      <c r="D117" s="11" t="n">
        <f aca="false">0</f>
        <v>0</v>
      </c>
      <c r="E117" s="10"/>
      <c r="F117" s="10"/>
      <c r="G117" s="10"/>
    </row>
    <row r="118" customFormat="false" ht="15" hidden="false" customHeight="true" outlineLevel="0" collapsed="false">
      <c r="A118" s="5" t="s">
        <v>111</v>
      </c>
      <c r="B118" s="6" t="s">
        <v>112</v>
      </c>
      <c r="C118" s="8" t="n">
        <f aca="false">'Materias Primas'!C20/30</f>
        <v>150</v>
      </c>
      <c r="D118" s="7" t="n">
        <f aca="false">('Materias Primas'!C20/30)*1</f>
        <v>150</v>
      </c>
      <c r="E118" s="6"/>
      <c r="F118" s="6"/>
      <c r="G118" s="6"/>
    </row>
    <row r="119" customFormat="false" ht="15" hidden="false" customHeight="true" outlineLevel="0" collapsed="false">
      <c r="A119" s="16" t="s">
        <v>182</v>
      </c>
      <c r="B119" s="3" t="n">
        <v>2.5</v>
      </c>
      <c r="C119" s="3"/>
      <c r="D119" s="17" t="n">
        <f aca="false">SUM(D114:D118)</f>
        <v>1427.644</v>
      </c>
      <c r="E119" s="17" t="n">
        <f aca="false">D119/B119</f>
        <v>571.0576</v>
      </c>
      <c r="F119" s="18" t="n">
        <v>1500</v>
      </c>
      <c r="G119" s="19" t="n">
        <f aca="false">(F119-E119)/F119</f>
        <v>0.619294933333333</v>
      </c>
    </row>
    <row r="121" customFormat="false" ht="21.75" hidden="false" customHeight="true" outlineLevel="0" collapsed="false">
      <c r="A121" s="21" t="s">
        <v>183</v>
      </c>
    </row>
    <row r="122" customFormat="false" ht="15.75" hidden="false" customHeight="true" outlineLevel="0" collapsed="false">
      <c r="A122" s="3" t="s">
        <v>93</v>
      </c>
      <c r="B122" s="3" t="s">
        <v>94</v>
      </c>
      <c r="C122" s="3" t="s">
        <v>95</v>
      </c>
      <c r="D122" s="3" t="s">
        <v>96</v>
      </c>
      <c r="E122" s="3"/>
      <c r="F122" s="3"/>
      <c r="G122" s="3"/>
    </row>
    <row r="123" customFormat="false" ht="15" hidden="false" customHeight="true" outlineLevel="0" collapsed="false">
      <c r="A123" s="5" t="s">
        <v>101</v>
      </c>
      <c r="B123" s="6" t="s">
        <v>109</v>
      </c>
      <c r="C123" s="8" t="n">
        <f aca="false">'Materias Primas'!C4/1000</f>
        <v>1.68118811881188</v>
      </c>
      <c r="D123" s="7" t="n">
        <f aca="false">('Materias Primas'!C4/1000)*200</f>
        <v>336.237623762376</v>
      </c>
      <c r="E123" s="6"/>
      <c r="F123" s="6"/>
      <c r="G123" s="6"/>
    </row>
    <row r="124" customFormat="false" ht="15" hidden="false" customHeight="true" outlineLevel="0" collapsed="false">
      <c r="A124" s="9" t="s">
        <v>37</v>
      </c>
      <c r="B124" s="10" t="s">
        <v>109</v>
      </c>
      <c r="C124" s="12" t="n">
        <f aca="false">'Materias Primas'!C22/1000</f>
        <v>1.0312</v>
      </c>
      <c r="D124" s="11" t="n">
        <f aca="false">('Materias Primas'!C22/1000)*200</f>
        <v>206.24</v>
      </c>
      <c r="E124" s="10"/>
      <c r="F124" s="10"/>
      <c r="G124" s="10"/>
    </row>
    <row r="125" customFormat="false" ht="15" hidden="false" customHeight="true" outlineLevel="0" collapsed="false">
      <c r="A125" s="5" t="s">
        <v>33</v>
      </c>
      <c r="B125" s="6" t="s">
        <v>184</v>
      </c>
      <c r="C125" s="8" t="n">
        <f aca="false">'Materias Primas'!C20/30</f>
        <v>150</v>
      </c>
      <c r="D125" s="7" t="n">
        <f aca="false">('Materias Primas'!C20/30)*5</f>
        <v>750</v>
      </c>
      <c r="E125" s="6"/>
      <c r="F125" s="6"/>
      <c r="G125" s="6"/>
    </row>
    <row r="126" customFormat="false" ht="15" hidden="false" customHeight="true" outlineLevel="0" collapsed="false">
      <c r="A126" s="16" t="s">
        <v>185</v>
      </c>
      <c r="B126" s="3" t="n">
        <v>1</v>
      </c>
      <c r="C126" s="3"/>
      <c r="D126" s="17" t="n">
        <f aca="false">SUM(D123:D125)</f>
        <v>1292.47762376238</v>
      </c>
      <c r="E126" s="17" t="n">
        <f aca="false">D126/B126</f>
        <v>1292.47762376238</v>
      </c>
      <c r="F126" s="20" t="s">
        <v>150</v>
      </c>
      <c r="G126" s="10"/>
    </row>
    <row r="128" customFormat="false" ht="21.75" hidden="false" customHeight="true" outlineLevel="0" collapsed="false">
      <c r="A128" s="21" t="s">
        <v>186</v>
      </c>
    </row>
    <row r="129" customFormat="false" ht="15.75" hidden="false" customHeight="true" outlineLevel="0" collapsed="false">
      <c r="A129" s="3" t="s">
        <v>93</v>
      </c>
      <c r="B129" s="3" t="s">
        <v>94</v>
      </c>
      <c r="C129" s="3" t="s">
        <v>95</v>
      </c>
      <c r="D129" s="3" t="s">
        <v>96</v>
      </c>
      <c r="E129" s="3"/>
      <c r="F129" s="3"/>
      <c r="G129" s="3"/>
    </row>
    <row r="130" customFormat="false" ht="15" hidden="false" customHeight="true" outlineLevel="0" collapsed="false">
      <c r="A130" s="5" t="s">
        <v>187</v>
      </c>
      <c r="B130" s="6" t="s">
        <v>112</v>
      </c>
      <c r="C130" s="8" t="s">
        <v>142</v>
      </c>
      <c r="D130" s="7" t="n">
        <f aca="false">D126</f>
        <v>1292.47762376238</v>
      </c>
      <c r="E130" s="6"/>
      <c r="F130" s="6"/>
      <c r="G130" s="6"/>
    </row>
    <row r="131" customFormat="false" ht="15" hidden="false" customHeight="true" outlineLevel="0" collapsed="false">
      <c r="A131" s="9" t="s">
        <v>47</v>
      </c>
      <c r="B131" s="10" t="s">
        <v>188</v>
      </c>
      <c r="C131" s="12" t="n">
        <f aca="false">'Materias Primas'!C30/10000</f>
        <v>1.4625</v>
      </c>
      <c r="D131" s="11" t="n">
        <f aca="false">('Materias Primas'!C30/10000)*500</f>
        <v>731.25</v>
      </c>
      <c r="E131" s="10"/>
      <c r="F131" s="10"/>
      <c r="G131" s="10"/>
    </row>
    <row r="132" customFormat="false" ht="15" hidden="false" customHeight="true" outlineLevel="0" collapsed="false">
      <c r="A132" s="5" t="s">
        <v>189</v>
      </c>
      <c r="B132" s="6" t="s">
        <v>143</v>
      </c>
      <c r="C132" s="8" t="n">
        <f aca="false">'Materias Primas'!C16/4700</f>
        <v>7.6063829787234</v>
      </c>
      <c r="D132" s="7" t="n">
        <f aca="false">('Materias Primas'!C16/4700)*250</f>
        <v>1901.59574468085</v>
      </c>
      <c r="E132" s="6"/>
      <c r="F132" s="6"/>
      <c r="G132" s="6"/>
    </row>
    <row r="133" customFormat="false" ht="15" hidden="false" customHeight="true" outlineLevel="0" collapsed="false">
      <c r="A133" s="9" t="s">
        <v>190</v>
      </c>
      <c r="B133" s="10" t="s">
        <v>191</v>
      </c>
      <c r="C133" s="12" t="n">
        <f aca="false">'Materias Primas'!C16/4700</f>
        <v>7.6063829787234</v>
      </c>
      <c r="D133" s="11" t="n">
        <f aca="false">('Materias Primas'!C16/4700)*600</f>
        <v>4563.82978723404</v>
      </c>
      <c r="E133" s="10"/>
      <c r="F133" s="10"/>
      <c r="G133" s="10"/>
    </row>
    <row r="134" customFormat="false" ht="15" hidden="false" customHeight="true" outlineLevel="0" collapsed="false">
      <c r="A134" s="9" t="s">
        <v>83</v>
      </c>
      <c r="B134" s="10" t="s">
        <v>112</v>
      </c>
      <c r="C134" s="12" t="n">
        <f aca="false">'Materias Primas'!C54</f>
        <v>500</v>
      </c>
      <c r="D134" s="11" t="n">
        <f aca="false">'Materias Primas'!C54</f>
        <v>500</v>
      </c>
      <c r="E134" s="10"/>
      <c r="F134" s="10"/>
      <c r="G134" s="10"/>
    </row>
    <row r="135" customFormat="false" ht="15" hidden="false" customHeight="true" outlineLevel="0" collapsed="false">
      <c r="A135" s="16" t="s">
        <v>192</v>
      </c>
      <c r="B135" s="3" t="n">
        <v>1</v>
      </c>
      <c r="C135" s="3"/>
      <c r="D135" s="17" t="n">
        <f aca="false">SUM(D130:D134)</f>
        <v>8989.15315567727</v>
      </c>
      <c r="E135" s="17" t="n">
        <f aca="false">D135/B135</f>
        <v>8989.15315567727</v>
      </c>
      <c r="F135" s="18" t="n">
        <v>36000</v>
      </c>
      <c r="G135" s="19" t="n">
        <f aca="false">(F135-E135)/F135</f>
        <v>0.750301301231187</v>
      </c>
    </row>
    <row r="137" customFormat="false" ht="21.75" hidden="false" customHeight="true" outlineLevel="0" collapsed="false">
      <c r="A137" s="21" t="s">
        <v>193</v>
      </c>
    </row>
    <row r="138" customFormat="false" ht="15.75" hidden="false" customHeight="true" outlineLevel="0" collapsed="false">
      <c r="A138" s="3" t="s">
        <v>93</v>
      </c>
      <c r="B138" s="3" t="s">
        <v>94</v>
      </c>
      <c r="C138" s="3" t="s">
        <v>95</v>
      </c>
      <c r="D138" s="3" t="s">
        <v>96</v>
      </c>
      <c r="E138" s="3"/>
      <c r="F138" s="3"/>
      <c r="G138" s="3"/>
    </row>
    <row r="139" customFormat="false" ht="15" hidden="false" customHeight="true" outlineLevel="0" collapsed="false">
      <c r="A139" s="5" t="s">
        <v>37</v>
      </c>
      <c r="B139" s="6" t="s">
        <v>143</v>
      </c>
      <c r="C139" s="8" t="n">
        <f aca="false">'Materias Primas'!C22/1000</f>
        <v>1.0312</v>
      </c>
      <c r="D139" s="7" t="n">
        <f aca="false">('Materias Primas'!C22/1000)*250</f>
        <v>257.8</v>
      </c>
      <c r="E139" s="6"/>
      <c r="F139" s="6"/>
      <c r="G139" s="6"/>
    </row>
    <row r="140" customFormat="false" ht="15" hidden="false" customHeight="true" outlineLevel="0" collapsed="false">
      <c r="A140" s="9" t="s">
        <v>14</v>
      </c>
      <c r="B140" s="10" t="s">
        <v>194</v>
      </c>
      <c r="C140" s="12" t="n">
        <f aca="false">'Materias Primas'!C7/10000</f>
        <v>1.4875</v>
      </c>
      <c r="D140" s="11" t="n">
        <f aca="false">('Materias Primas'!C7/10000)*8</f>
        <v>11.9</v>
      </c>
      <c r="E140" s="10"/>
      <c r="F140" s="10"/>
      <c r="G140" s="10"/>
    </row>
    <row r="141" customFormat="false" ht="15" hidden="false" customHeight="true" outlineLevel="0" collapsed="false">
      <c r="A141" s="16" t="s">
        <v>195</v>
      </c>
      <c r="B141" s="3" t="n">
        <v>2</v>
      </c>
      <c r="C141" s="3"/>
      <c r="D141" s="17" t="n">
        <f aca="false">SUM(D139:D140)</f>
        <v>269.7</v>
      </c>
      <c r="E141" s="17" t="n">
        <f aca="false">D141/B141</f>
        <v>134.85</v>
      </c>
      <c r="F141" s="20" t="s">
        <v>150</v>
      </c>
      <c r="G141" s="10"/>
    </row>
    <row r="143" customFormat="false" ht="21.75" hidden="false" customHeight="true" outlineLevel="0" collapsed="false">
      <c r="A143" s="21" t="s">
        <v>196</v>
      </c>
    </row>
    <row r="144" customFormat="false" ht="15.75" hidden="false" customHeight="true" outlineLevel="0" collapsed="false">
      <c r="A144" s="3" t="s">
        <v>93</v>
      </c>
      <c r="B144" s="3" t="s">
        <v>94</v>
      </c>
      <c r="C144" s="3" t="s">
        <v>95</v>
      </c>
      <c r="D144" s="3" t="s">
        <v>96</v>
      </c>
      <c r="E144" s="3"/>
      <c r="F144" s="3"/>
      <c r="G144" s="3"/>
    </row>
    <row r="145" customFormat="false" ht="15" hidden="false" customHeight="true" outlineLevel="0" collapsed="false">
      <c r="A145" s="5" t="s">
        <v>101</v>
      </c>
      <c r="B145" s="6" t="s">
        <v>143</v>
      </c>
      <c r="C145" s="8" t="n">
        <f aca="false">'Materias Primas'!C4/1000</f>
        <v>1.68118811881188</v>
      </c>
      <c r="D145" s="7" t="n">
        <f aca="false">('Materias Primas'!C4/1000)*250</f>
        <v>420.29702970297</v>
      </c>
      <c r="E145" s="6"/>
      <c r="F145" s="6"/>
      <c r="G145" s="6"/>
    </row>
    <row r="146" customFormat="false" ht="15" hidden="false" customHeight="true" outlineLevel="0" collapsed="false">
      <c r="A146" s="9" t="s">
        <v>37</v>
      </c>
      <c r="B146" s="10" t="s">
        <v>197</v>
      </c>
      <c r="C146" s="12" t="n">
        <f aca="false">'Materias Primas'!C22/1000</f>
        <v>1.0312</v>
      </c>
      <c r="D146" s="11" t="n">
        <f aca="false">('Materias Primas'!C22/1000)*150</f>
        <v>154.68</v>
      </c>
      <c r="E146" s="10"/>
      <c r="F146" s="10"/>
      <c r="G146" s="10"/>
    </row>
    <row r="147" customFormat="false" ht="15" hidden="false" customHeight="true" outlineLevel="0" collapsed="false">
      <c r="A147" s="5" t="s">
        <v>59</v>
      </c>
      <c r="B147" s="6" t="s">
        <v>105</v>
      </c>
      <c r="C147" s="8" t="n">
        <f aca="false">'Materias Primas'!C39/1500</f>
        <v>3.2352</v>
      </c>
      <c r="D147" s="7" t="n">
        <f aca="false">('Materias Primas'!C39/1500)*100</f>
        <v>323.52</v>
      </c>
      <c r="E147" s="6"/>
      <c r="F147" s="6"/>
      <c r="G147" s="6"/>
    </row>
    <row r="148" customFormat="false" ht="15" hidden="false" customHeight="true" outlineLevel="0" collapsed="false">
      <c r="A148" s="9" t="s">
        <v>33</v>
      </c>
      <c r="B148" s="10" t="s">
        <v>198</v>
      </c>
      <c r="C148" s="12" t="n">
        <f aca="false">'Materias Primas'!C20/30</f>
        <v>150</v>
      </c>
      <c r="D148" s="11" t="n">
        <f aca="false">('Materias Primas'!C20/30)*4</f>
        <v>600</v>
      </c>
      <c r="E148" s="10"/>
      <c r="F148" s="10"/>
      <c r="G148" s="10"/>
    </row>
    <row r="149" customFormat="false" ht="15" hidden="false" customHeight="true" outlineLevel="0" collapsed="false">
      <c r="A149" s="5" t="s">
        <v>63</v>
      </c>
      <c r="B149" s="6" t="s">
        <v>199</v>
      </c>
      <c r="C149" s="8" t="n">
        <f aca="false">'Materias Primas'!C41/1000</f>
        <v>10</v>
      </c>
      <c r="D149" s="7" t="n">
        <f aca="false">('Materias Primas'!C41/1000)*5</f>
        <v>50</v>
      </c>
      <c r="E149" s="6"/>
      <c r="F149" s="6"/>
      <c r="G149" s="6"/>
    </row>
    <row r="150" customFormat="false" ht="15" hidden="false" customHeight="true" outlineLevel="0" collapsed="false">
      <c r="A150" s="9" t="s">
        <v>64</v>
      </c>
      <c r="B150" s="10" t="s">
        <v>114</v>
      </c>
      <c r="C150" s="12" t="n">
        <f aca="false">'Materias Primas'!C42/2000</f>
        <v>2.9</v>
      </c>
      <c r="D150" s="11" t="n">
        <f aca="false">('Materias Primas'!C42/2000)*10</f>
        <v>29</v>
      </c>
      <c r="E150" s="10"/>
      <c r="F150" s="10"/>
      <c r="G150" s="10"/>
    </row>
    <row r="151" customFormat="false" ht="15" hidden="false" customHeight="true" outlineLevel="0" collapsed="false">
      <c r="A151" s="5" t="s">
        <v>200</v>
      </c>
      <c r="B151" s="6" t="s">
        <v>130</v>
      </c>
      <c r="C151" s="8" t="s">
        <v>142</v>
      </c>
      <c r="D151" s="7" t="n">
        <f aca="false">D141/2</f>
        <v>134.85</v>
      </c>
      <c r="E151" s="6"/>
      <c r="F151" s="6"/>
      <c r="G151" s="6"/>
    </row>
    <row r="152" customFormat="false" ht="15" hidden="false" customHeight="true" outlineLevel="0" collapsed="false">
      <c r="A152" s="9" t="s">
        <v>201</v>
      </c>
      <c r="B152" s="10" t="s">
        <v>197</v>
      </c>
      <c r="C152" s="12" t="n">
        <f aca="false">'Materias Primas'!C25/1000</f>
        <v>8</v>
      </c>
      <c r="D152" s="11" t="n">
        <f aca="false">('Materias Primas'!C25/1000)*150</f>
        <v>1200</v>
      </c>
      <c r="E152" s="10"/>
      <c r="F152" s="10"/>
      <c r="G152" s="10"/>
    </row>
    <row r="153" customFormat="false" ht="15" hidden="false" customHeight="true" outlineLevel="0" collapsed="false">
      <c r="A153" s="16" t="s">
        <v>202</v>
      </c>
      <c r="B153" s="3" t="n">
        <v>1</v>
      </c>
      <c r="C153" s="3"/>
      <c r="D153" s="17" t="n">
        <f aca="false">SUM(D145:D152)</f>
        <v>2912.34702970297</v>
      </c>
      <c r="E153" s="17" t="n">
        <f aca="false">D153/B153</f>
        <v>2912.34702970297</v>
      </c>
      <c r="F153" s="18" t="n">
        <v>7500</v>
      </c>
      <c r="G153" s="19" t="n">
        <f aca="false">(F153-E153)/F153</f>
        <v>0.611687062706271</v>
      </c>
    </row>
    <row r="154" customFormat="false" ht="15" hidden="false" customHeight="true" outlineLevel="0" collapsed="false">
      <c r="A154" s="16" t="s">
        <v>203</v>
      </c>
      <c r="B154" s="3" t="n">
        <v>6</v>
      </c>
      <c r="C154" s="3"/>
      <c r="D154" s="17" t="n">
        <f aca="false">SUM(D145:D152)</f>
        <v>2912.34702970297</v>
      </c>
      <c r="E154" s="17" t="n">
        <f aca="false">D154/B154</f>
        <v>485.391171617162</v>
      </c>
      <c r="F154" s="18" t="n">
        <v>2500</v>
      </c>
      <c r="G154" s="19" t="n">
        <f aca="false">(F154-E154)/F154</f>
        <v>0.805843531353135</v>
      </c>
    </row>
    <row r="156" customFormat="false" ht="21.75" hidden="false" customHeight="true" outlineLevel="0" collapsed="false">
      <c r="A156" s="21" t="s">
        <v>204</v>
      </c>
    </row>
    <row r="157" customFormat="false" ht="15.75" hidden="false" customHeight="true" outlineLevel="0" collapsed="false">
      <c r="A157" s="3" t="s">
        <v>93</v>
      </c>
      <c r="B157" s="3" t="s">
        <v>94</v>
      </c>
      <c r="C157" s="3" t="s">
        <v>95</v>
      </c>
      <c r="D157" s="3" t="s">
        <v>96</v>
      </c>
      <c r="E157" s="3"/>
      <c r="F157" s="3"/>
      <c r="G157" s="3"/>
    </row>
    <row r="158" customFormat="false" ht="15" hidden="false" customHeight="true" outlineLevel="0" collapsed="false">
      <c r="A158" s="5" t="s">
        <v>25</v>
      </c>
      <c r="B158" s="6" t="s">
        <v>197</v>
      </c>
      <c r="C158" s="8" t="n">
        <f aca="false">'Materias Primas'!C15/2500</f>
        <v>11.79416</v>
      </c>
      <c r="D158" s="7" t="n">
        <f aca="false">('Materias Primas'!C15/2500)*150</f>
        <v>1769.124</v>
      </c>
      <c r="E158" s="6"/>
      <c r="F158" s="6"/>
      <c r="G158" s="6"/>
    </row>
    <row r="159" customFormat="false" ht="15" hidden="false" customHeight="true" outlineLevel="0" collapsed="false">
      <c r="A159" s="9" t="s">
        <v>37</v>
      </c>
      <c r="B159" s="10" t="s">
        <v>197</v>
      </c>
      <c r="C159" s="12" t="n">
        <f aca="false">'Materias Primas'!C22/1000</f>
        <v>1.0312</v>
      </c>
      <c r="D159" s="11" t="n">
        <f aca="false">('Materias Primas'!C22/1000)*150</f>
        <v>154.68</v>
      </c>
      <c r="E159" s="10"/>
      <c r="F159" s="10"/>
      <c r="G159" s="10"/>
    </row>
    <row r="160" customFormat="false" ht="15" hidden="false" customHeight="true" outlineLevel="0" collapsed="false">
      <c r="A160" s="5" t="s">
        <v>33</v>
      </c>
      <c r="B160" s="6" t="s">
        <v>205</v>
      </c>
      <c r="C160" s="8" t="n">
        <f aca="false">'Materias Primas'!C20/30</f>
        <v>150</v>
      </c>
      <c r="D160" s="7" t="n">
        <f aca="false">('Materias Primas'!C20/30)*7</f>
        <v>1050</v>
      </c>
      <c r="E160" s="6"/>
      <c r="F160" s="6"/>
      <c r="G160" s="6"/>
    </row>
    <row r="161" customFormat="false" ht="15" hidden="false" customHeight="true" outlineLevel="0" collapsed="false">
      <c r="A161" s="9" t="s">
        <v>14</v>
      </c>
      <c r="B161" s="10" t="s">
        <v>188</v>
      </c>
      <c r="C161" s="12" t="n">
        <f aca="false">'Materias Primas'!C7/10000</f>
        <v>1.4875</v>
      </c>
      <c r="D161" s="11" t="n">
        <f aca="false">('Materias Primas'!C7/10000)*500</f>
        <v>743.75</v>
      </c>
      <c r="E161" s="10"/>
      <c r="F161" s="10"/>
      <c r="G161" s="10"/>
    </row>
    <row r="162" customFormat="false" ht="15" hidden="false" customHeight="true" outlineLevel="0" collapsed="false">
      <c r="A162" s="5" t="s">
        <v>63</v>
      </c>
      <c r="B162" s="6" t="s">
        <v>153</v>
      </c>
      <c r="C162" s="8" t="n">
        <f aca="false">'Materias Primas'!C41/1000</f>
        <v>10</v>
      </c>
      <c r="D162" s="7" t="n">
        <f aca="false">('Materias Primas'!C41/1000)*10</f>
        <v>100</v>
      </c>
      <c r="E162" s="6"/>
      <c r="F162" s="6"/>
      <c r="G162" s="6"/>
    </row>
    <row r="163" customFormat="false" ht="15" hidden="false" customHeight="true" outlineLevel="0" collapsed="false">
      <c r="A163" s="9" t="s">
        <v>47</v>
      </c>
      <c r="B163" s="10" t="s">
        <v>206</v>
      </c>
      <c r="C163" s="12" t="n">
        <f aca="false">'Materias Primas'!C30/10000</f>
        <v>1.4625</v>
      </c>
      <c r="D163" s="11" t="n">
        <f aca="false">('Materias Primas'!C30/10000)*450</f>
        <v>658.125</v>
      </c>
      <c r="E163" s="10"/>
      <c r="F163" s="10"/>
      <c r="G163" s="10"/>
    </row>
    <row r="164" customFormat="false" ht="15" hidden="false" customHeight="true" outlineLevel="0" collapsed="false">
      <c r="A164" s="5" t="s">
        <v>66</v>
      </c>
      <c r="B164" s="6" t="s">
        <v>207</v>
      </c>
      <c r="C164" s="8" t="n">
        <f aca="false">'Materias Primas'!C43/1000</f>
        <v>11.3355</v>
      </c>
      <c r="D164" s="7" t="n">
        <f aca="false">('Materias Primas'!C43/1000)*150</f>
        <v>1700.325</v>
      </c>
      <c r="E164" s="6"/>
      <c r="F164" s="6"/>
      <c r="G164" s="6"/>
    </row>
    <row r="165" customFormat="false" ht="15" hidden="false" customHeight="true" outlineLevel="0" collapsed="false">
      <c r="A165" s="16" t="s">
        <v>208</v>
      </c>
      <c r="B165" s="3" t="n">
        <v>40</v>
      </c>
      <c r="C165" s="3"/>
      <c r="D165" s="17" t="n">
        <f aca="false">SUM(D158:D164)</f>
        <v>6176.004</v>
      </c>
      <c r="E165" s="17" t="n">
        <f aca="false">D165/B165</f>
        <v>154.4001</v>
      </c>
      <c r="F165" s="18" t="n">
        <v>800</v>
      </c>
      <c r="G165" s="19" t="n">
        <f aca="false">(F165-E165)/F165</f>
        <v>0.806999875</v>
      </c>
    </row>
    <row r="167" customFormat="false" ht="21.75" hidden="false" customHeight="true" outlineLevel="0" collapsed="false">
      <c r="A167" s="22" t="s">
        <v>209</v>
      </c>
    </row>
    <row r="168" customFormat="false" ht="15.75" hidden="false" customHeight="true" outlineLevel="0" collapsed="false">
      <c r="A168" s="3" t="s">
        <v>93</v>
      </c>
      <c r="B168" s="3" t="s">
        <v>94</v>
      </c>
      <c r="C168" s="3" t="s">
        <v>95</v>
      </c>
      <c r="D168" s="3" t="s">
        <v>96</v>
      </c>
      <c r="E168" s="3"/>
      <c r="F168" s="3"/>
      <c r="G168" s="3"/>
    </row>
    <row r="169" customFormat="false" ht="15" hidden="false" customHeight="true" outlineLevel="0" collapsed="false">
      <c r="A169" s="5" t="s">
        <v>56</v>
      </c>
      <c r="B169" s="6" t="s">
        <v>210</v>
      </c>
      <c r="C169" s="8" t="n">
        <f aca="false">'Materias Primas'!C36/1000</f>
        <v>9</v>
      </c>
      <c r="D169" s="7" t="n">
        <f aca="false">('Materias Primas'!C36/1000)*8000</f>
        <v>72000</v>
      </c>
      <c r="E169" s="6"/>
      <c r="F169" s="6"/>
      <c r="G169" s="6"/>
    </row>
    <row r="170" customFormat="false" ht="15" hidden="false" customHeight="true" outlineLevel="0" collapsed="false">
      <c r="A170" s="9" t="s">
        <v>211</v>
      </c>
      <c r="B170" s="10" t="s">
        <v>212</v>
      </c>
      <c r="C170" s="12" t="n">
        <f aca="false">'Materias Primas'!C12/730</f>
        <v>3.01369863013699</v>
      </c>
      <c r="D170" s="11" t="n">
        <f aca="false">('Materias Primas'!C12/730)*1460</f>
        <v>4400</v>
      </c>
      <c r="E170" s="10"/>
      <c r="F170" s="10"/>
      <c r="G170" s="10"/>
    </row>
    <row r="171" customFormat="false" ht="15" hidden="false" customHeight="true" outlineLevel="0" collapsed="false">
      <c r="A171" s="5" t="s">
        <v>213</v>
      </c>
      <c r="B171" s="6" t="s">
        <v>214</v>
      </c>
      <c r="C171" s="8" t="n">
        <f aca="false">'Materias Primas'!C13/200</f>
        <v>11</v>
      </c>
      <c r="D171" s="7" t="n">
        <f aca="false">('Materias Primas'!C13/200)*400</f>
        <v>4400</v>
      </c>
      <c r="E171" s="6"/>
      <c r="F171" s="6"/>
      <c r="G171" s="6"/>
    </row>
    <row r="172" customFormat="false" ht="15" hidden="false" customHeight="true" outlineLevel="0" collapsed="false">
      <c r="A172" s="9" t="s">
        <v>33</v>
      </c>
      <c r="B172" s="10" t="s">
        <v>215</v>
      </c>
      <c r="C172" s="12" t="n">
        <f aca="false">'Materias Primas'!C20/30</f>
        <v>150</v>
      </c>
      <c r="D172" s="11" t="n">
        <f aca="false">('Materias Primas'!C20/30)*19</f>
        <v>2850</v>
      </c>
      <c r="E172" s="10"/>
      <c r="F172" s="10"/>
      <c r="G172" s="10"/>
    </row>
    <row r="173" customFormat="false" ht="15" hidden="false" customHeight="true" outlineLevel="0" collapsed="false">
      <c r="A173" s="5" t="s">
        <v>216</v>
      </c>
      <c r="B173" s="6" t="s">
        <v>138</v>
      </c>
      <c r="C173" s="8" t="n">
        <f aca="false">250/11.1</f>
        <v>22.5225225225225</v>
      </c>
      <c r="D173" s="7" t="n">
        <f aca="false">250</f>
        <v>250</v>
      </c>
      <c r="E173" s="6"/>
      <c r="F173" s="6"/>
      <c r="G173" s="6"/>
    </row>
    <row r="174" customFormat="false" ht="15" hidden="false" customHeight="true" outlineLevel="0" collapsed="false">
      <c r="A174" s="9" t="s">
        <v>217</v>
      </c>
      <c r="B174" s="10" t="s">
        <v>11</v>
      </c>
      <c r="C174" s="12" t="n">
        <f aca="false">100</f>
        <v>100</v>
      </c>
      <c r="D174" s="11" t="n">
        <f aca="false">100*11.1</f>
        <v>1110</v>
      </c>
      <c r="E174" s="10"/>
      <c r="F174" s="10"/>
      <c r="G174" s="10"/>
    </row>
    <row r="175" customFormat="false" ht="15" hidden="false" customHeight="true" outlineLevel="0" collapsed="false">
      <c r="A175" s="16" t="s">
        <v>218</v>
      </c>
      <c r="B175" s="3" t="n">
        <v>1</v>
      </c>
      <c r="C175" s="3"/>
      <c r="D175" s="17" t="n">
        <f aca="false">SUM(D169:D174)/11.1</f>
        <v>7658.55855855856</v>
      </c>
      <c r="E175" s="17" t="n">
        <f aca="false">D175</f>
        <v>7658.55855855856</v>
      </c>
      <c r="F175" s="18" t="n">
        <v>14000</v>
      </c>
      <c r="G175" s="19" t="n">
        <f aca="false">(F175-D175)/F175</f>
        <v>0.452960102960103</v>
      </c>
    </row>
    <row r="176" customFormat="false" ht="21.75" hidden="false" customHeight="true" outlineLevel="0" collapsed="false"/>
    <row r="177" customFormat="false" ht="21.75" hidden="false" customHeight="true" outlineLevel="0" collapsed="false">
      <c r="A177" s="23" t="s">
        <v>219</v>
      </c>
      <c r="B177" s="22"/>
      <c r="C177" s="22"/>
      <c r="D177" s="22"/>
      <c r="E177" s="22"/>
      <c r="F177" s="22"/>
      <c r="G177" s="22"/>
    </row>
    <row r="178" customFormat="false" ht="15" hidden="false" customHeight="true" outlineLevel="0" collapsed="false">
      <c r="A178" s="3" t="s">
        <v>93</v>
      </c>
      <c r="B178" s="3" t="s">
        <v>94</v>
      </c>
      <c r="C178" s="3" t="s">
        <v>95</v>
      </c>
      <c r="D178" s="3" t="s">
        <v>96</v>
      </c>
      <c r="E178" s="3"/>
      <c r="F178" s="3"/>
      <c r="G178" s="3"/>
    </row>
    <row r="179" customFormat="false" ht="15" hidden="false" customHeight="true" outlineLevel="0" collapsed="false">
      <c r="A179" s="24" t="s">
        <v>101</v>
      </c>
      <c r="B179" s="25" t="s">
        <v>214</v>
      </c>
      <c r="C179" s="26" t="n">
        <f aca="false">'Materias Primas'!C4/1000</f>
        <v>1.68118811881188</v>
      </c>
      <c r="D179" s="27" t="n">
        <f aca="false">('Materias Primas'!C4/1000)*400</f>
        <v>672.475247524753</v>
      </c>
      <c r="E179" s="25"/>
      <c r="F179" s="25"/>
      <c r="G179" s="25"/>
    </row>
    <row r="180" customFormat="false" ht="15" hidden="false" customHeight="true" outlineLevel="0" collapsed="false">
      <c r="A180" s="28" t="s">
        <v>33</v>
      </c>
      <c r="B180" s="29" t="s">
        <v>106</v>
      </c>
      <c r="C180" s="30" t="n">
        <f aca="false">'Materias Primas'!C20/30</f>
        <v>150</v>
      </c>
      <c r="D180" s="31" t="n">
        <f aca="false">('Materias Primas'!C20/30)*6</f>
        <v>900</v>
      </c>
      <c r="E180" s="29"/>
      <c r="F180" s="29"/>
      <c r="G180" s="29"/>
    </row>
    <row r="181" customFormat="false" ht="15" hidden="false" customHeight="true" outlineLevel="0" collapsed="false">
      <c r="A181" s="24" t="s">
        <v>59</v>
      </c>
      <c r="B181" s="25" t="s">
        <v>220</v>
      </c>
      <c r="C181" s="26" t="n">
        <f aca="false">'Materias Primas'!C39/1500</f>
        <v>3.2352</v>
      </c>
      <c r="D181" s="27" t="n">
        <f aca="false">('Materias Primas'!C39/1500)*60</f>
        <v>194.112</v>
      </c>
      <c r="E181" s="25"/>
      <c r="F181" s="25"/>
      <c r="G181" s="25"/>
    </row>
    <row r="182" customFormat="false" ht="15" hidden="false" customHeight="true" outlineLevel="0" collapsed="false">
      <c r="A182" s="16" t="s">
        <v>221</v>
      </c>
      <c r="B182" s="3" t="n">
        <v>20</v>
      </c>
      <c r="C182" s="3"/>
      <c r="D182" s="17" t="n">
        <f aca="false">SUM(D179:D181)</f>
        <v>1766.58724752475</v>
      </c>
      <c r="E182" s="17" t="n">
        <f aca="false">D182/B182</f>
        <v>88.3293623762376</v>
      </c>
      <c r="F182" s="20" t="s">
        <v>142</v>
      </c>
      <c r="G182" s="20" t="s">
        <v>142</v>
      </c>
    </row>
    <row r="183" customFormat="false" ht="21.75" hidden="false" customHeight="true" outlineLevel="0" collapsed="false">
      <c r="A183" s="13"/>
      <c r="B183" s="13"/>
      <c r="C183" s="13"/>
      <c r="D183" s="13"/>
      <c r="E183" s="13"/>
      <c r="F183" s="13"/>
      <c r="G183" s="13"/>
    </row>
    <row r="184" customFormat="false" ht="21.75" hidden="false" customHeight="true" outlineLevel="0" collapsed="false">
      <c r="A184" s="23" t="s">
        <v>222</v>
      </c>
      <c r="B184" s="22"/>
      <c r="C184" s="22"/>
      <c r="D184" s="22"/>
      <c r="E184" s="22"/>
      <c r="F184" s="22"/>
      <c r="G184" s="22"/>
    </row>
    <row r="185" customFormat="false" ht="15" hidden="false" customHeight="true" outlineLevel="0" collapsed="false">
      <c r="A185" s="3" t="s">
        <v>93</v>
      </c>
      <c r="B185" s="3" t="s">
        <v>94</v>
      </c>
      <c r="C185" s="3" t="s">
        <v>95</v>
      </c>
      <c r="D185" s="3" t="s">
        <v>96</v>
      </c>
      <c r="E185" s="3"/>
      <c r="F185" s="3"/>
      <c r="G185" s="3"/>
    </row>
    <row r="186" customFormat="false" ht="15" hidden="false" customHeight="true" outlineLevel="0" collapsed="false">
      <c r="A186" s="24" t="s">
        <v>223</v>
      </c>
      <c r="B186" s="25" t="s">
        <v>224</v>
      </c>
      <c r="C186" s="26" t="n">
        <f aca="false">'Materias Primas'!C4/1000</f>
        <v>1.68118811881188</v>
      </c>
      <c r="D186" s="27" t="n">
        <f aca="false">D182/20*21</f>
        <v>1854.91660990099</v>
      </c>
      <c r="E186" s="25"/>
      <c r="F186" s="25"/>
      <c r="G186" s="25"/>
    </row>
    <row r="187" customFormat="false" ht="15" hidden="false" customHeight="true" outlineLevel="0" collapsed="false">
      <c r="A187" s="28" t="s">
        <v>31</v>
      </c>
      <c r="B187" s="29" t="s">
        <v>225</v>
      </c>
      <c r="C187" s="30" t="n">
        <f aca="false">'Materias Primas'!C18/1000</f>
        <v>6</v>
      </c>
      <c r="D187" s="31" t="n">
        <f aca="false">('Materias Primas'!C18/1000)*350</f>
        <v>2100</v>
      </c>
      <c r="E187" s="29"/>
      <c r="F187" s="29"/>
      <c r="G187" s="29"/>
    </row>
    <row r="188" customFormat="false" ht="15" hidden="false" customHeight="true" outlineLevel="0" collapsed="false">
      <c r="A188" s="24" t="s">
        <v>226</v>
      </c>
      <c r="B188" s="25" t="s">
        <v>227</v>
      </c>
      <c r="C188" s="26" t="n">
        <f aca="false">'Materias Primas'!C17/1000</f>
        <v>8.6755</v>
      </c>
      <c r="D188" s="27" t="n">
        <f aca="false">('Materias Primas'!C17/1000)*233</f>
        <v>2021.3915</v>
      </c>
      <c r="E188" s="25"/>
      <c r="F188" s="25"/>
      <c r="G188" s="25"/>
    </row>
    <row r="189" customFormat="false" ht="15" hidden="false" customHeight="true" outlineLevel="0" collapsed="false">
      <c r="A189" s="28" t="s">
        <v>57</v>
      </c>
      <c r="B189" s="29" t="s">
        <v>228</v>
      </c>
      <c r="C189" s="30" t="n">
        <f aca="false">'Materias Primas'!C37/1000</f>
        <v>6.2981</v>
      </c>
      <c r="D189" s="31" t="n">
        <f aca="false">('Materias Primas'!C37/1000)*583</f>
        <v>3671.7923</v>
      </c>
      <c r="E189" s="29"/>
      <c r="F189" s="29"/>
      <c r="G189" s="29"/>
    </row>
    <row r="190" customFormat="false" ht="15" hidden="false" customHeight="true" outlineLevel="0" collapsed="false">
      <c r="A190" s="24" t="s">
        <v>88</v>
      </c>
      <c r="B190" s="25" t="s">
        <v>229</v>
      </c>
      <c r="C190" s="26" t="n">
        <f aca="false">2600/250</f>
        <v>10.4</v>
      </c>
      <c r="D190" s="27" t="n">
        <f aca="false">(2600/250)*117</f>
        <v>1216.8</v>
      </c>
      <c r="E190" s="25"/>
      <c r="F190" s="25"/>
      <c r="G190" s="25"/>
    </row>
    <row r="191" customFormat="false" ht="15" hidden="false" customHeight="true" outlineLevel="0" collapsed="false">
      <c r="A191" s="32" t="s">
        <v>230</v>
      </c>
      <c r="B191" s="33" t="n">
        <v>21</v>
      </c>
      <c r="C191" s="34"/>
      <c r="D191" s="35" t="n">
        <f aca="false">SUM(D186:D190)</f>
        <v>10864.900409901</v>
      </c>
      <c r="E191" s="35" t="n">
        <f aca="false">D191/B191</f>
        <v>517.376209995285</v>
      </c>
      <c r="F191" s="20" t="s">
        <v>142</v>
      </c>
      <c r="G191" s="20" t="s">
        <v>142</v>
      </c>
    </row>
    <row r="192" customFormat="false" ht="15" hidden="false" customHeight="true" outlineLevel="0" collapsed="false">
      <c r="A192" s="4" t="s">
        <v>231</v>
      </c>
      <c r="B192" s="36" t="n">
        <v>7</v>
      </c>
      <c r="C192" s="37"/>
      <c r="D192" s="38" t="n">
        <f aca="false">D191/7</f>
        <v>1552.12862998586</v>
      </c>
      <c r="E192" s="38" t="n">
        <f aca="false">D192</f>
        <v>1552.12862998586</v>
      </c>
      <c r="F192" s="18" t="n">
        <v>6000</v>
      </c>
      <c r="G192" s="19" t="n">
        <f aca="false">(F192-D192)/F192</f>
        <v>0.741311895002357</v>
      </c>
    </row>
    <row r="193" customFormat="false" ht="15" hidden="false" customHeight="true" outlineLevel="0" collapsed="false">
      <c r="A193" s="24" t="s">
        <v>232</v>
      </c>
      <c r="B193" s="25" t="s">
        <v>233</v>
      </c>
      <c r="C193" s="26" t="n">
        <f aca="false">'Materias Primas'!C4/1000</f>
        <v>1.68118811881188</v>
      </c>
      <c r="D193" s="27" t="n">
        <f aca="false">D191/21*15</f>
        <v>7760.64314992928</v>
      </c>
      <c r="E193" s="39"/>
      <c r="F193" s="25"/>
      <c r="G193" s="25"/>
    </row>
    <row r="194" customFormat="false" ht="15" hidden="false" customHeight="true" outlineLevel="0" collapsed="false">
      <c r="A194" s="28" t="s">
        <v>234</v>
      </c>
      <c r="B194" s="29" t="s">
        <v>112</v>
      </c>
      <c r="C194" s="30" t="n">
        <f aca="false">'Materias Primas'!C44</f>
        <v>501.8</v>
      </c>
      <c r="D194" s="31" t="n">
        <f aca="false">'Materias Primas'!C44</f>
        <v>501.8</v>
      </c>
      <c r="E194" s="40"/>
      <c r="F194" s="40"/>
      <c r="G194" s="41"/>
    </row>
    <row r="195" customFormat="false" ht="15" hidden="false" customHeight="true" outlineLevel="0" collapsed="false">
      <c r="A195" s="24" t="s">
        <v>235</v>
      </c>
      <c r="B195" s="25" t="s">
        <v>104</v>
      </c>
      <c r="C195" s="26" t="n">
        <f aca="false">'Materias Primas'!C17/1000</f>
        <v>8.6755</v>
      </c>
      <c r="D195" s="27" t="n">
        <f aca="false">('Materias Primas'!C17/1000)*100</f>
        <v>867.55</v>
      </c>
      <c r="E195" s="39"/>
      <c r="F195" s="39"/>
      <c r="G195" s="42"/>
    </row>
    <row r="196" customFormat="false" ht="21.75" hidden="false" customHeight="true" outlineLevel="0" collapsed="false">
      <c r="A196" s="28" t="s">
        <v>236</v>
      </c>
      <c r="B196" s="29" t="s">
        <v>184</v>
      </c>
      <c r="C196" s="30" t="n">
        <f aca="false">'Materias Primas'!C52</f>
        <v>400</v>
      </c>
      <c r="D196" s="31" t="n">
        <f aca="false">'Materias Primas'!C52*5</f>
        <v>2000</v>
      </c>
      <c r="E196" s="29"/>
      <c r="F196" s="29"/>
      <c r="G196" s="29"/>
    </row>
    <row r="197" customFormat="false" ht="15.75" hidden="false" customHeight="true" outlineLevel="0" collapsed="false">
      <c r="A197" s="32" t="s">
        <v>237</v>
      </c>
      <c r="B197" s="33" t="n">
        <v>5</v>
      </c>
      <c r="C197" s="33"/>
      <c r="D197" s="35" t="n">
        <f aca="false">SUM(D193:D196)/5</f>
        <v>2225.99862998586</v>
      </c>
      <c r="E197" s="35" t="n">
        <f aca="false">D197</f>
        <v>2225.99862998586</v>
      </c>
      <c r="F197" s="18" t="n">
        <v>8500</v>
      </c>
      <c r="G197" s="19" t="n">
        <f aca="false">(F197-D197)/F197</f>
        <v>0.738117808236958</v>
      </c>
    </row>
    <row r="198" customFormat="false" ht="21.75" hidden="false" customHeight="true" outlineLevel="0" collapsed="false">
      <c r="A198" s="43"/>
      <c r="B198" s="43"/>
      <c r="C198" s="43"/>
      <c r="D198" s="43"/>
      <c r="E198" s="43"/>
      <c r="F198" s="43"/>
      <c r="G198" s="43"/>
    </row>
    <row r="199" customFormat="false" ht="21.75" hidden="false" customHeight="true" outlineLevel="0" collapsed="false">
      <c r="A199" s="23" t="s">
        <v>238</v>
      </c>
      <c r="B199" s="22"/>
      <c r="C199" s="22"/>
      <c r="D199" s="22"/>
      <c r="E199" s="22"/>
      <c r="F199" s="22"/>
      <c r="G199" s="22"/>
    </row>
    <row r="200" customFormat="false" ht="15" hidden="false" customHeight="true" outlineLevel="0" collapsed="false">
      <c r="A200" s="3" t="s">
        <v>93</v>
      </c>
      <c r="B200" s="3" t="s">
        <v>94</v>
      </c>
      <c r="C200" s="44" t="s">
        <v>95</v>
      </c>
      <c r="D200" s="45" t="s">
        <v>96</v>
      </c>
      <c r="E200" s="3"/>
      <c r="F200" s="3"/>
      <c r="G200" s="3"/>
    </row>
    <row r="201" customFormat="false" ht="15" hidden="false" customHeight="true" outlineLevel="0" collapsed="false">
      <c r="A201" s="24" t="s">
        <v>223</v>
      </c>
      <c r="B201" s="25" t="s">
        <v>224</v>
      </c>
      <c r="C201" s="26" t="n">
        <f aca="false">'Materias Primas'!C4/1000</f>
        <v>1.68118811881188</v>
      </c>
      <c r="D201" s="27" t="n">
        <f aca="false">D182/20*21</f>
        <v>1854.91660990099</v>
      </c>
      <c r="E201" s="25"/>
      <c r="F201" s="25"/>
      <c r="G201" s="25"/>
    </row>
    <row r="202" customFormat="false" ht="15" hidden="false" customHeight="true" outlineLevel="0" collapsed="false">
      <c r="A202" s="28" t="s">
        <v>90</v>
      </c>
      <c r="B202" s="29" t="s">
        <v>122</v>
      </c>
      <c r="C202" s="30" t="n">
        <f aca="false">6000/2</f>
        <v>3000</v>
      </c>
      <c r="D202" s="31" t="n">
        <f aca="false">6000</f>
        <v>6000</v>
      </c>
      <c r="E202" s="29"/>
      <c r="F202" s="29"/>
      <c r="G202" s="29"/>
    </row>
    <row r="203" customFormat="false" ht="15" hidden="false" customHeight="true" outlineLevel="0" collapsed="false">
      <c r="A203" s="24" t="s">
        <v>88</v>
      </c>
      <c r="B203" s="25" t="s">
        <v>143</v>
      </c>
      <c r="C203" s="26" t="n">
        <f aca="false">2600/250</f>
        <v>10.4</v>
      </c>
      <c r="D203" s="27" t="n">
        <f aca="false">2600</f>
        <v>2600</v>
      </c>
      <c r="E203" s="25"/>
      <c r="F203" s="25"/>
      <c r="G203" s="25"/>
    </row>
    <row r="204" customFormat="false" ht="15" hidden="false" customHeight="true" outlineLevel="0" collapsed="false">
      <c r="A204" s="32" t="s">
        <v>230</v>
      </c>
      <c r="B204" s="33" t="n">
        <v>21</v>
      </c>
      <c r="C204" s="33"/>
      <c r="D204" s="35" t="n">
        <f aca="false">SUM(D201:D203)</f>
        <v>10454.916609901</v>
      </c>
      <c r="E204" s="35" t="n">
        <f aca="false">D204/B204</f>
        <v>497.853171900047</v>
      </c>
      <c r="F204" s="20" t="s">
        <v>142</v>
      </c>
      <c r="G204" s="20" t="s">
        <v>142</v>
      </c>
    </row>
    <row r="205" customFormat="false" ht="15" hidden="false" customHeight="true" outlineLevel="0" collapsed="false">
      <c r="A205" s="4" t="s">
        <v>231</v>
      </c>
      <c r="B205" s="36" t="n">
        <v>7</v>
      </c>
      <c r="C205" s="36"/>
      <c r="D205" s="38" t="n">
        <f aca="false">D204/7</f>
        <v>1493.55951570014</v>
      </c>
      <c r="E205" s="38" t="n">
        <f aca="false">D205</f>
        <v>1493.55951570014</v>
      </c>
      <c r="F205" s="18" t="n">
        <v>6000</v>
      </c>
      <c r="G205" s="19" t="n">
        <f aca="false">(F205-D205)/F205</f>
        <v>0.751073414049977</v>
      </c>
    </row>
    <row r="206" customFormat="false" ht="15" hidden="false" customHeight="true" outlineLevel="0" collapsed="false">
      <c r="A206" s="24" t="s">
        <v>239</v>
      </c>
      <c r="B206" s="25" t="s">
        <v>233</v>
      </c>
      <c r="C206" s="26" t="n">
        <f aca="false">'Materias Primas'!C4/1000</f>
        <v>1.68118811881188</v>
      </c>
      <c r="D206" s="27" t="n">
        <f aca="false">D204/21*15</f>
        <v>7467.79757850071</v>
      </c>
      <c r="E206" s="39"/>
      <c r="F206" s="39"/>
      <c r="G206" s="42"/>
    </row>
    <row r="207" customFormat="false" ht="15" hidden="false" customHeight="true" outlineLevel="0" collapsed="false">
      <c r="A207" s="28" t="s">
        <v>234</v>
      </c>
      <c r="B207" s="29" t="s">
        <v>112</v>
      </c>
      <c r="C207" s="30" t="n">
        <f aca="false">'Materias Primas'!C44</f>
        <v>501.8</v>
      </c>
      <c r="D207" s="31" t="n">
        <f aca="false">'Materias Primas'!C44</f>
        <v>501.8</v>
      </c>
      <c r="E207" s="29"/>
      <c r="F207" s="29"/>
      <c r="G207" s="29"/>
    </row>
    <row r="208" customFormat="false" ht="15" hidden="false" customHeight="true" outlineLevel="0" collapsed="false">
      <c r="A208" s="24" t="s">
        <v>235</v>
      </c>
      <c r="B208" s="25" t="s">
        <v>104</v>
      </c>
      <c r="C208" s="26" t="n">
        <f aca="false">'Materias Primas'!C17/1000</f>
        <v>8.6755</v>
      </c>
      <c r="D208" s="27" t="n">
        <f aca="false">('Materias Primas'!C17/1000)*100</f>
        <v>867.55</v>
      </c>
      <c r="E208" s="25"/>
      <c r="F208" s="25"/>
      <c r="G208" s="25"/>
    </row>
    <row r="209" customFormat="false" ht="15" hidden="false" customHeight="true" outlineLevel="0" collapsed="false">
      <c r="A209" s="28" t="s">
        <v>236</v>
      </c>
      <c r="B209" s="29" t="s">
        <v>184</v>
      </c>
      <c r="C209" s="30" t="n">
        <f aca="false">'Materias Primas'!C52</f>
        <v>400</v>
      </c>
      <c r="D209" s="31" t="n">
        <f aca="false">'Materias Primas'!C52*5</f>
        <v>2000</v>
      </c>
      <c r="E209" s="29"/>
      <c r="F209" s="29"/>
      <c r="G209" s="29"/>
    </row>
    <row r="210" customFormat="false" ht="15" hidden="false" customHeight="true" outlineLevel="0" collapsed="false">
      <c r="A210" s="32" t="s">
        <v>237</v>
      </c>
      <c r="B210" s="33" t="n">
        <v>5</v>
      </c>
      <c r="C210" s="33"/>
      <c r="D210" s="35" t="n">
        <f aca="false">SUM(D206:D209)/5</f>
        <v>2167.42951570014</v>
      </c>
      <c r="E210" s="35" t="n">
        <f aca="false">D210</f>
        <v>2167.42951570014</v>
      </c>
      <c r="F210" s="18" t="n">
        <v>8500</v>
      </c>
      <c r="G210" s="19" t="n">
        <f aca="false">(F210-D210)/F210</f>
        <v>0.745008292270572</v>
      </c>
    </row>
    <row r="211" customFormat="false" ht="15" hidden="false" customHeight="true" outlineLevel="0" collapsed="false">
      <c r="A211" s="13"/>
      <c r="B211" s="13"/>
      <c r="C211" s="13"/>
      <c r="D211" s="13"/>
      <c r="E211" s="13"/>
      <c r="F211" s="13"/>
      <c r="G211" s="13"/>
    </row>
    <row r="212" customFormat="false" ht="15" hidden="false" customHeight="true" outlineLevel="0" collapsed="false">
      <c r="A212" s="13"/>
      <c r="B212" s="13"/>
      <c r="C212" s="13"/>
      <c r="D212" s="13"/>
      <c r="E212" s="13"/>
      <c r="F212" s="13"/>
      <c r="G212" s="13"/>
    </row>
    <row r="213" customFormat="false" ht="15" hidden="false" customHeight="true" outlineLevel="0" collapsed="false">
      <c r="A213" s="13"/>
      <c r="B213" s="13"/>
      <c r="C213" s="13"/>
      <c r="D213" s="13"/>
      <c r="E213" s="13"/>
      <c r="F213" s="13"/>
      <c r="G213" s="13"/>
    </row>
    <row r="214" customFormat="false" ht="15" hidden="false" customHeight="true" outlineLevel="0" collapsed="false">
      <c r="A214" s="13"/>
      <c r="B214" s="13"/>
      <c r="C214" s="13"/>
      <c r="D214" s="13"/>
      <c r="E214" s="13"/>
      <c r="F214" s="13"/>
      <c r="G214" s="13"/>
    </row>
    <row r="215" customFormat="false" ht="15" hidden="false" customHeight="true" outlineLevel="0" collapsed="false">
      <c r="A215" s="13"/>
      <c r="B215" s="13"/>
      <c r="C215" s="13"/>
      <c r="D215" s="13"/>
      <c r="E215" s="13"/>
      <c r="F215" s="13"/>
      <c r="G215" s="13"/>
    </row>
    <row r="217" customFormat="false" ht="21.75" hidden="false" customHeight="true" outlineLevel="0" collapsed="false">
      <c r="A217" s="23" t="s">
        <v>240</v>
      </c>
      <c r="B217" s="22"/>
      <c r="C217" s="22"/>
      <c r="D217" s="22"/>
      <c r="E217" s="22"/>
      <c r="F217" s="22"/>
      <c r="G217" s="22"/>
    </row>
    <row r="218" customFormat="false" ht="15" hidden="false" customHeight="true" outlineLevel="0" collapsed="false">
      <c r="A218" s="3" t="s">
        <v>93</v>
      </c>
      <c r="B218" s="3" t="s">
        <v>94</v>
      </c>
      <c r="C218" s="3" t="s">
        <v>95</v>
      </c>
      <c r="D218" s="3" t="s">
        <v>96</v>
      </c>
      <c r="E218" s="3"/>
      <c r="F218" s="3"/>
      <c r="G218" s="3"/>
    </row>
    <row r="219" customFormat="false" ht="15" hidden="false" customHeight="true" outlineLevel="0" collapsed="false">
      <c r="A219" s="24" t="s">
        <v>101</v>
      </c>
      <c r="B219" s="25" t="s">
        <v>241</v>
      </c>
      <c r="C219" s="26" t="n">
        <f aca="false">'Materias Primas'!C4/1000</f>
        <v>1.68118811881188</v>
      </c>
      <c r="D219" s="27" t="n">
        <f aca="false">('Materias Primas'!C4/1000)*700</f>
        <v>1176.83168316832</v>
      </c>
      <c r="E219" s="25"/>
      <c r="F219" s="25"/>
      <c r="G219" s="25"/>
    </row>
    <row r="220" customFormat="false" ht="15" hidden="false" customHeight="true" outlineLevel="0" collapsed="false">
      <c r="A220" s="28" t="s">
        <v>61</v>
      </c>
      <c r="B220" s="29" t="s">
        <v>147</v>
      </c>
      <c r="C220" s="30" t="n">
        <f aca="false">'Materias Primas'!C40/500</f>
        <v>6.4</v>
      </c>
      <c r="D220" s="31" t="n">
        <f aca="false">('Materias Primas'!C40/500)*70</f>
        <v>448</v>
      </c>
      <c r="E220" s="29"/>
      <c r="F220" s="29"/>
      <c r="G220" s="29"/>
    </row>
    <row r="221" customFormat="false" ht="15" hidden="false" customHeight="true" outlineLevel="0" collapsed="false">
      <c r="A221" s="24" t="s">
        <v>37</v>
      </c>
      <c r="B221" s="25" t="s">
        <v>242</v>
      </c>
      <c r="C221" s="26" t="n">
        <f aca="false">'Materias Primas'!C22/1000</f>
        <v>1.0312</v>
      </c>
      <c r="D221" s="27" t="n">
        <f aca="false">('Materias Primas'!C22/1000)*35</f>
        <v>36.092</v>
      </c>
      <c r="E221" s="25"/>
      <c r="F221" s="25"/>
      <c r="G221" s="25"/>
    </row>
    <row r="222" customFormat="false" ht="15" hidden="false" customHeight="true" outlineLevel="0" collapsed="false">
      <c r="A222" s="28" t="s">
        <v>243</v>
      </c>
      <c r="B222" s="29" t="s">
        <v>114</v>
      </c>
      <c r="C222" s="30" t="n">
        <f aca="false">'Materias Primas'!C45</f>
        <v>1355.8</v>
      </c>
      <c r="D222" s="31" t="n">
        <f aca="false">'Materias Primas'!C45/100*10</f>
        <v>135.58</v>
      </c>
      <c r="E222" s="29"/>
      <c r="F222" s="29"/>
      <c r="G222" s="29"/>
    </row>
    <row r="223" customFormat="false" ht="15" hidden="false" customHeight="true" outlineLevel="0" collapsed="false">
      <c r="A223" s="24" t="s">
        <v>59</v>
      </c>
      <c r="B223" s="25" t="s">
        <v>244</v>
      </c>
      <c r="C223" s="26" t="n">
        <f aca="false">'Materias Primas'!C39/1500</f>
        <v>3.2352</v>
      </c>
      <c r="D223" s="27" t="n">
        <f aca="false">('Materias Primas'!C39/1500)*70</f>
        <v>226.464</v>
      </c>
      <c r="E223" s="25"/>
      <c r="F223" s="25"/>
      <c r="G223" s="25"/>
    </row>
    <row r="224" customFormat="false" ht="15" hidden="false" customHeight="true" outlineLevel="0" collapsed="false">
      <c r="A224" s="28" t="s">
        <v>33</v>
      </c>
      <c r="B224" s="29" t="s">
        <v>184</v>
      </c>
      <c r="C224" s="30" t="n">
        <f aca="false">'Materias Primas'!C20/30</f>
        <v>150</v>
      </c>
      <c r="D224" s="31" t="n">
        <f aca="false">('Materias Primas'!C20/30)*5</f>
        <v>750</v>
      </c>
      <c r="E224" s="29"/>
      <c r="F224" s="29"/>
      <c r="G224" s="29"/>
    </row>
    <row r="225" customFormat="false" ht="15" hidden="false" customHeight="true" outlineLevel="0" collapsed="false">
      <c r="A225" s="16" t="s">
        <v>245</v>
      </c>
      <c r="B225" s="3" t="n">
        <v>6</v>
      </c>
      <c r="C225" s="3"/>
      <c r="D225" s="17" t="n">
        <f aca="false">SUM(D219:D224)/6</f>
        <v>462.161280528053</v>
      </c>
      <c r="E225" s="17" t="n">
        <f aca="false">D225</f>
        <v>462.161280528053</v>
      </c>
      <c r="F225" s="18" t="n">
        <v>5000</v>
      </c>
      <c r="G225" s="19" t="n">
        <f aca="false">(F225-D225)/F225</f>
        <v>0.907567743894389</v>
      </c>
    </row>
    <row r="227" customFormat="false" ht="21.75" hidden="false" customHeight="true" outlineLevel="0" collapsed="false">
      <c r="A227" s="23" t="s">
        <v>246</v>
      </c>
      <c r="B227" s="22"/>
      <c r="C227" s="22"/>
      <c r="D227" s="22"/>
      <c r="E227" s="22"/>
      <c r="F227" s="22"/>
      <c r="G227" s="22"/>
    </row>
    <row r="228" customFormat="false" ht="15" hidden="false" customHeight="false" outlineLevel="0" collapsed="false">
      <c r="A228" s="3" t="s">
        <v>93</v>
      </c>
      <c r="B228" s="3" t="s">
        <v>94</v>
      </c>
      <c r="C228" s="3" t="s">
        <v>95</v>
      </c>
      <c r="D228" s="3" t="s">
        <v>96</v>
      </c>
      <c r="E228" s="3"/>
      <c r="F228" s="3"/>
      <c r="G228" s="3"/>
    </row>
    <row r="229" customFormat="false" ht="15" hidden="false" customHeight="false" outlineLevel="0" collapsed="false">
      <c r="A229" s="24" t="s">
        <v>17</v>
      </c>
      <c r="B229" s="25" t="s">
        <v>247</v>
      </c>
      <c r="C229" s="46" t="n">
        <f aca="false">'Materias Primas'!C9/1000</f>
        <v>21.6856</v>
      </c>
      <c r="D229" s="47" t="n">
        <f aca="false">('Materias Primas'!C9/1000)*170</f>
        <v>3686.552</v>
      </c>
      <c r="E229" s="25"/>
      <c r="F229" s="25"/>
      <c r="G229" s="25"/>
    </row>
    <row r="230" customFormat="false" ht="15" hidden="false" customHeight="false" outlineLevel="0" collapsed="false">
      <c r="A230" s="28" t="s">
        <v>18</v>
      </c>
      <c r="B230" s="29" t="s">
        <v>120</v>
      </c>
      <c r="C230" s="48" t="n">
        <f aca="false">'Materias Primas'!C10/1000</f>
        <v>5.0634</v>
      </c>
      <c r="D230" s="49" t="n">
        <f aca="false">('Materias Primas'!C10/1000)*30</f>
        <v>151.902</v>
      </c>
      <c r="E230" s="29"/>
      <c r="F230" s="29"/>
      <c r="G230" s="29"/>
    </row>
    <row r="231" customFormat="false" ht="15" hidden="false" customHeight="false" outlineLevel="0" collapsed="false">
      <c r="A231" s="24" t="s">
        <v>33</v>
      </c>
      <c r="B231" s="25" t="s">
        <v>198</v>
      </c>
      <c r="C231" s="46" t="n">
        <f aca="false">'Materias Primas'!C20/30</f>
        <v>150</v>
      </c>
      <c r="D231" s="47" t="n">
        <f aca="false">('Materias Primas'!C20/30)*4</f>
        <v>600</v>
      </c>
      <c r="E231" s="25"/>
      <c r="F231" s="25"/>
      <c r="G231" s="25"/>
    </row>
    <row r="232" customFormat="false" ht="15" hidden="false" customHeight="false" outlineLevel="0" collapsed="false">
      <c r="A232" s="28" t="s">
        <v>63</v>
      </c>
      <c r="B232" s="29" t="s">
        <v>131</v>
      </c>
      <c r="C232" s="48" t="n">
        <f aca="false">'Materias Primas'!C41/1000</f>
        <v>10</v>
      </c>
      <c r="D232" s="49" t="n">
        <f aca="false">('Materias Primas'!C41/1000)*15</f>
        <v>150</v>
      </c>
      <c r="E232" s="29"/>
      <c r="F232" s="29"/>
      <c r="G232" s="29"/>
    </row>
    <row r="233" customFormat="false" ht="15" hidden="false" customHeight="false" outlineLevel="0" collapsed="false">
      <c r="A233" s="24" t="s">
        <v>64</v>
      </c>
      <c r="B233" s="25" t="s">
        <v>248</v>
      </c>
      <c r="C233" s="46" t="n">
        <f aca="false">'Materias Primas'!C42/2000</f>
        <v>2.9</v>
      </c>
      <c r="D233" s="47" t="n">
        <f aca="false">('Materias Primas'!C42/2000)*15</f>
        <v>43.5</v>
      </c>
      <c r="E233" s="25"/>
      <c r="F233" s="25"/>
      <c r="G233" s="25"/>
    </row>
    <row r="234" customFormat="false" ht="15" hidden="false" customHeight="false" outlineLevel="0" collapsed="false">
      <c r="A234" s="28" t="s">
        <v>25</v>
      </c>
      <c r="B234" s="29" t="s">
        <v>249</v>
      </c>
      <c r="C234" s="48" t="n">
        <f aca="false">'Materias Primas'!C15/2500</f>
        <v>11.79416</v>
      </c>
      <c r="D234" s="49" t="n">
        <f aca="false">('Materias Primas'!C15/2500)*110</f>
        <v>1297.3576</v>
      </c>
      <c r="E234" s="29"/>
      <c r="F234" s="29"/>
      <c r="G234" s="29"/>
    </row>
    <row r="235" customFormat="false" ht="15" hidden="false" customHeight="false" outlineLevel="0" collapsed="false">
      <c r="A235" s="24" t="s">
        <v>250</v>
      </c>
      <c r="B235" s="25" t="s">
        <v>247</v>
      </c>
      <c r="C235" s="46" t="n">
        <f aca="false">2700/170</f>
        <v>15.8823529411765</v>
      </c>
      <c r="D235" s="47" t="n">
        <f aca="false">2700</f>
        <v>2700</v>
      </c>
      <c r="E235" s="25"/>
      <c r="F235" s="25"/>
      <c r="G235" s="25"/>
    </row>
    <row r="236" customFormat="false" ht="15" hidden="false" customHeight="false" outlineLevel="0" collapsed="false">
      <c r="A236" s="28" t="s">
        <v>45</v>
      </c>
      <c r="B236" s="29" t="s">
        <v>120</v>
      </c>
      <c r="C236" s="48" t="n">
        <f aca="false">'Materias Primas'!C28/800</f>
        <v>16.25</v>
      </c>
      <c r="D236" s="49" t="n">
        <f aca="false">('Materias Primas'!C28/800)*30</f>
        <v>487.5</v>
      </c>
      <c r="E236" s="29"/>
      <c r="F236" s="29"/>
      <c r="G236" s="29"/>
    </row>
    <row r="237" customFormat="false" ht="15" hidden="false" customHeight="false" outlineLevel="0" collapsed="false">
      <c r="A237" s="16" t="s">
        <v>251</v>
      </c>
      <c r="B237" s="3" t="n">
        <v>6</v>
      </c>
      <c r="C237" s="3"/>
      <c r="D237" s="50" t="n">
        <f aca="false">SUM(D229:D236)/6</f>
        <v>1519.4686</v>
      </c>
      <c r="E237" s="50" t="n">
        <f aca="false">D237</f>
        <v>1519.4686</v>
      </c>
      <c r="F237" s="51" t="n">
        <v>0</v>
      </c>
      <c r="G237" s="20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8"/>
  </cols>
  <sheetData>
    <row r="1" customFormat="false" ht="30" hidden="false" customHeight="true" outlineLevel="0" collapsed="false">
      <c r="A1" s="14" t="s">
        <v>252</v>
      </c>
    </row>
    <row r="2" customFormat="false" ht="15.75" hidden="false" customHeight="true" outlineLevel="0" collapsed="false">
      <c r="A2" s="52" t="s">
        <v>253</v>
      </c>
    </row>
    <row r="3" customFormat="false" ht="19.5" hidden="false" customHeight="true" outlineLevel="0" collapsed="false">
      <c r="A3" s="3" t="s">
        <v>254</v>
      </c>
      <c r="B3" s="3" t="s">
        <v>255</v>
      </c>
      <c r="C3" s="3" t="s">
        <v>256</v>
      </c>
      <c r="D3" s="3" t="s">
        <v>257</v>
      </c>
      <c r="E3" s="3" t="s">
        <v>258</v>
      </c>
    </row>
    <row r="4" customFormat="false" ht="18" hidden="false" customHeight="true" outlineLevel="0" collapsed="false">
      <c r="A4" s="53" t="s">
        <v>259</v>
      </c>
    </row>
    <row r="5" customFormat="false" ht="15" hidden="false" customHeight="true" outlineLevel="0" collapsed="false">
      <c r="A5" s="5" t="s">
        <v>260</v>
      </c>
      <c r="B5" s="6" t="s">
        <v>261</v>
      </c>
      <c r="C5" s="18" t="n">
        <v>15000</v>
      </c>
      <c r="D5" s="7" t="n">
        <f aca="false">C5*5</f>
        <v>75000</v>
      </c>
      <c r="E5" s="7" t="n">
        <f aca="false">D5*4</f>
        <v>300000</v>
      </c>
    </row>
    <row r="6" customFormat="false" ht="15" hidden="false" customHeight="true" outlineLevel="0" collapsed="false">
      <c r="A6" s="54" t="s">
        <v>262</v>
      </c>
      <c r="B6" s="55"/>
      <c r="C6" s="56"/>
      <c r="D6" s="57" t="n">
        <f aca="false">SUM(D5:D5)</f>
        <v>75000</v>
      </c>
      <c r="E6" s="57" t="n">
        <f aca="false">SUM(E5:E5)</f>
        <v>300000</v>
      </c>
    </row>
    <row r="8" customFormat="false" ht="18" hidden="false" customHeight="true" outlineLevel="0" collapsed="false">
      <c r="A8" s="53" t="s">
        <v>263</v>
      </c>
    </row>
    <row r="9" customFormat="false" ht="15" hidden="false" customHeight="true" outlineLevel="0" collapsed="false">
      <c r="A9" s="5" t="s">
        <v>264</v>
      </c>
      <c r="B9" s="6" t="s">
        <v>265</v>
      </c>
      <c r="C9" s="18" t="n">
        <v>3327.9</v>
      </c>
      <c r="D9" s="7" t="n">
        <f aca="false">C9*4</f>
        <v>13311.6</v>
      </c>
      <c r="E9" s="7" t="n">
        <f aca="false">C9*16</f>
        <v>53246.4</v>
      </c>
    </row>
    <row r="10" customFormat="false" ht="15" hidden="false" customHeight="true" outlineLevel="0" collapsed="false">
      <c r="A10" s="54" t="s">
        <v>266</v>
      </c>
      <c r="B10" s="55"/>
      <c r="C10" s="55"/>
      <c r="D10" s="57" t="n">
        <f aca="false">SUM(D9:D9)</f>
        <v>13311.6</v>
      </c>
      <c r="E10" s="57" t="n">
        <f aca="false">SUM(E9:E9)</f>
        <v>53246.4</v>
      </c>
    </row>
    <row r="11" customFormat="false" ht="15" hidden="false" customHeight="true" outlineLevel="0" collapsed="false">
      <c r="A11" s="53" t="s">
        <v>267</v>
      </c>
      <c r="B11" s="58"/>
      <c r="C11" s="58"/>
      <c r="D11" s="58"/>
      <c r="E11" s="58"/>
    </row>
    <row r="12" customFormat="false" ht="15" hidden="false" customHeight="true" outlineLevel="0" collapsed="false">
      <c r="A12" s="5" t="s">
        <v>268</v>
      </c>
      <c r="B12" s="6" t="s">
        <v>269</v>
      </c>
      <c r="C12" s="18" t="n">
        <v>60000</v>
      </c>
      <c r="D12" s="7" t="n">
        <f aca="false">C12/4</f>
        <v>15000</v>
      </c>
      <c r="E12" s="7" t="n">
        <f aca="false">C12</f>
        <v>60000</v>
      </c>
    </row>
    <row r="13" customFormat="false" ht="15" hidden="false" customHeight="true" outlineLevel="0" collapsed="false">
      <c r="A13" s="9" t="s">
        <v>270</v>
      </c>
      <c r="B13" s="10" t="s">
        <v>269</v>
      </c>
      <c r="C13" s="18" t="n">
        <v>60000</v>
      </c>
      <c r="D13" s="11" t="n">
        <f aca="false">C13/4</f>
        <v>15000</v>
      </c>
      <c r="E13" s="11" t="n">
        <f aca="false">C13</f>
        <v>60000</v>
      </c>
    </row>
    <row r="14" customFormat="false" ht="24" hidden="false" customHeight="true" outlineLevel="0" collapsed="false">
      <c r="A14" s="5" t="s">
        <v>271</v>
      </c>
      <c r="B14" s="6" t="s">
        <v>269</v>
      </c>
      <c r="C14" s="18" t="n">
        <v>10000</v>
      </c>
      <c r="D14" s="7" t="n">
        <f aca="false">C14/4</f>
        <v>2500</v>
      </c>
      <c r="E14" s="7" t="n">
        <f aca="false">C14</f>
        <v>10000</v>
      </c>
    </row>
    <row r="15" customFormat="false" ht="15" hidden="false" customHeight="true" outlineLevel="0" collapsed="false">
      <c r="A15" s="54" t="s">
        <v>272</v>
      </c>
      <c r="B15" s="55"/>
      <c r="C15" s="56"/>
      <c r="D15" s="57" t="n">
        <f aca="false">SUM(D12:D14)</f>
        <v>32500</v>
      </c>
      <c r="E15" s="57" t="n">
        <f aca="false">SUM(E12:E14)</f>
        <v>130000</v>
      </c>
    </row>
    <row r="16" customFormat="false" ht="21.75" hidden="false" customHeight="true" outlineLevel="0" collapsed="false"/>
    <row r="17" customFormat="false" ht="15" hidden="false" customHeight="true" outlineLevel="0" collapsed="false">
      <c r="A17" s="59" t="s">
        <v>273</v>
      </c>
      <c r="D17" s="60" t="n">
        <f aca="false">D6+D10+D15</f>
        <v>120811.6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15" t="s">
        <v>274</v>
      </c>
      <c r="D19" s="58"/>
    </row>
    <row r="20" customFormat="false" ht="15" hidden="false" customHeight="true" outlineLevel="0" collapsed="false">
      <c r="A20" s="5" t="s">
        <v>275</v>
      </c>
      <c r="D20" s="61" t="n">
        <f aca="false">'Proyección Semanal'!F21</f>
        <v>1192000</v>
      </c>
    </row>
    <row r="21" customFormat="false" ht="15" hidden="false" customHeight="true" outlineLevel="0" collapsed="false">
      <c r="A21" s="9" t="s">
        <v>276</v>
      </c>
      <c r="D21" s="61" t="n">
        <f aca="false">'Proyección Semanal'!D21</f>
        <v>304925.991958236</v>
      </c>
    </row>
    <row r="22" customFormat="false" ht="15" hidden="false" customHeight="true" outlineLevel="0" collapsed="false">
      <c r="A22" s="5" t="s">
        <v>277</v>
      </c>
      <c r="D22" s="62" t="n">
        <f aca="false">D17</f>
        <v>120811.6</v>
      </c>
    </row>
    <row r="23" customFormat="false" ht="15" hidden="false" customHeight="true" outlineLevel="0" collapsed="false">
      <c r="A23" s="9" t="s">
        <v>278</v>
      </c>
      <c r="D23" s="63" t="n">
        <f aca="false">'Proyección Semanal'!G21</f>
        <v>887074.008041764</v>
      </c>
    </row>
    <row r="24" customFormat="false" ht="18" hidden="false" customHeight="true" outlineLevel="0" collapsed="false">
      <c r="A24" s="64" t="s">
        <v>279</v>
      </c>
      <c r="D24" s="17" t="n">
        <f aca="false">D23-D17</f>
        <v>766262.408041764</v>
      </c>
    </row>
    <row r="25" customFormat="false" ht="15" hidden="false" customHeight="true" outlineLevel="0" collapsed="false">
      <c r="A25" s="65" t="s">
        <v>280</v>
      </c>
      <c r="B25" s="58"/>
      <c r="C25" s="66"/>
      <c r="D25" s="67" t="n">
        <f aca="false">(D23-D17)*4</f>
        <v>3065049.63216706</v>
      </c>
      <c r="E25" s="66"/>
    </row>
    <row r="26" customFormat="false" ht="15" hidden="false" customHeight="true" outlineLevel="0" collapsed="false">
      <c r="A26" s="64" t="s">
        <v>281</v>
      </c>
      <c r="B26" s="58"/>
      <c r="C26" s="66"/>
      <c r="D26" s="68" t="n">
        <f aca="false">IFERROR((D23-D17)/D20,0)</f>
        <v>0.642837590639064</v>
      </c>
      <c r="E26" s="66"/>
    </row>
    <row r="27" customFormat="false" ht="15" hidden="false" customHeight="true" outlineLevel="0" collapsed="false">
      <c r="A27" s="69" t="s">
        <v>282</v>
      </c>
      <c r="B27" s="58"/>
      <c r="C27" s="58"/>
      <c r="D27" s="58"/>
      <c r="E27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6" min="3" style="1" width="14"/>
    <col collapsed="false" customWidth="true" hidden="false" outlineLevel="0" max="9" min="7" style="1" width="16"/>
  </cols>
  <sheetData>
    <row r="1" customFormat="false" ht="30" hidden="false" customHeight="true" outlineLevel="0" collapsed="false">
      <c r="A1" s="14" t="s">
        <v>283</v>
      </c>
    </row>
    <row r="2" customFormat="false" ht="15.75" hidden="false" customHeight="true" outlineLevel="0" collapsed="false">
      <c r="A2" s="52" t="s">
        <v>284</v>
      </c>
    </row>
    <row r="4" customFormat="false" ht="21.75" hidden="false" customHeight="true" outlineLevel="0" collapsed="false">
      <c r="A4" s="15" t="s">
        <v>285</v>
      </c>
    </row>
    <row r="5" customFormat="false" ht="27.75" hidden="false" customHeight="true" outlineLevel="0" collapsed="false">
      <c r="A5" s="70" t="s">
        <v>1</v>
      </c>
      <c r="B5" s="70" t="s">
        <v>286</v>
      </c>
      <c r="C5" s="70" t="s">
        <v>287</v>
      </c>
      <c r="D5" s="70" t="s">
        <v>2</v>
      </c>
      <c r="E5" s="70" t="s">
        <v>3</v>
      </c>
      <c r="F5" s="70" t="s">
        <v>288</v>
      </c>
      <c r="G5" s="70" t="s">
        <v>289</v>
      </c>
      <c r="H5" s="70" t="s">
        <v>290</v>
      </c>
      <c r="I5" s="70" t="s">
        <v>291</v>
      </c>
    </row>
    <row r="6" customFormat="false" ht="15" hidden="false" customHeight="true" outlineLevel="0" collapsed="false">
      <c r="A6" s="5" t="s">
        <v>12</v>
      </c>
      <c r="B6" s="6" t="s">
        <v>292</v>
      </c>
      <c r="C6" s="6" t="s">
        <v>293</v>
      </c>
      <c r="D6" s="6" t="s">
        <v>294</v>
      </c>
      <c r="E6" s="7" t="n">
        <v>23100</v>
      </c>
      <c r="F6" s="8" t="n">
        <v>2.31</v>
      </c>
      <c r="G6" s="71" t="s">
        <v>142</v>
      </c>
      <c r="H6" s="71" t="s">
        <v>142</v>
      </c>
      <c r="I6" s="72" t="s">
        <v>295</v>
      </c>
    </row>
    <row r="7" customFormat="false" ht="15" hidden="false" customHeight="true" outlineLevel="0" collapsed="false">
      <c r="A7" s="9" t="s">
        <v>12</v>
      </c>
      <c r="B7" s="10" t="s">
        <v>296</v>
      </c>
      <c r="C7" s="10" t="s">
        <v>142</v>
      </c>
      <c r="D7" s="10" t="s">
        <v>294</v>
      </c>
      <c r="E7" s="11" t="n">
        <v>17500</v>
      </c>
      <c r="F7" s="12" t="n">
        <v>1.75</v>
      </c>
      <c r="G7" s="20" t="s">
        <v>142</v>
      </c>
      <c r="H7" s="20" t="s">
        <v>142</v>
      </c>
      <c r="I7" s="73" t="s">
        <v>297</v>
      </c>
    </row>
    <row r="8" customFormat="false" ht="15" hidden="false" customHeight="true" outlineLevel="0" collapsed="false">
      <c r="A8" s="5" t="s">
        <v>14</v>
      </c>
      <c r="B8" s="6" t="s">
        <v>142</v>
      </c>
      <c r="C8" s="6" t="s">
        <v>293</v>
      </c>
      <c r="D8" s="6" t="s">
        <v>294</v>
      </c>
      <c r="E8" s="7" t="n">
        <v>14875</v>
      </c>
      <c r="F8" s="8" t="n">
        <v>1.488</v>
      </c>
      <c r="G8" s="71" t="s">
        <v>142</v>
      </c>
      <c r="H8" s="71" t="s">
        <v>142</v>
      </c>
      <c r="I8" s="72" t="s">
        <v>298</v>
      </c>
    </row>
    <row r="9" customFormat="false" ht="15" hidden="false" customHeight="true" outlineLevel="0" collapsed="false">
      <c r="A9" s="9" t="s">
        <v>15</v>
      </c>
      <c r="B9" s="10" t="s">
        <v>142</v>
      </c>
      <c r="C9" s="10" t="s">
        <v>293</v>
      </c>
      <c r="D9" s="10" t="s">
        <v>299</v>
      </c>
      <c r="E9" s="11" t="n">
        <v>25000</v>
      </c>
      <c r="F9" s="12" t="n">
        <v>1</v>
      </c>
      <c r="G9" s="20" t="s">
        <v>142</v>
      </c>
      <c r="H9" s="20" t="s">
        <v>142</v>
      </c>
      <c r="I9" s="73" t="s">
        <v>300</v>
      </c>
    </row>
    <row r="10" customFormat="false" ht="15" hidden="false" customHeight="true" outlineLevel="0" collapsed="false">
      <c r="A10" s="5" t="s">
        <v>19</v>
      </c>
      <c r="B10" s="6" t="s">
        <v>142</v>
      </c>
      <c r="C10" s="6" t="s">
        <v>293</v>
      </c>
      <c r="D10" s="6" t="s">
        <v>301</v>
      </c>
      <c r="E10" s="7" t="n">
        <v>11000</v>
      </c>
      <c r="F10" s="8" t="n">
        <v>11</v>
      </c>
      <c r="G10" s="71" t="s">
        <v>142</v>
      </c>
      <c r="H10" s="71" t="s">
        <v>142</v>
      </c>
      <c r="I10" s="72" t="s">
        <v>300</v>
      </c>
    </row>
    <row r="11" customFormat="false" ht="15" hidden="false" customHeight="true" outlineLevel="0" collapsed="false">
      <c r="A11" s="9" t="s">
        <v>302</v>
      </c>
      <c r="B11" s="10" t="s">
        <v>303</v>
      </c>
      <c r="C11" s="10" t="s">
        <v>293</v>
      </c>
      <c r="D11" s="10" t="s">
        <v>304</v>
      </c>
      <c r="E11" s="11" t="n">
        <v>10600</v>
      </c>
      <c r="F11" s="12" t="n">
        <v>13.25</v>
      </c>
      <c r="G11" s="20" t="s">
        <v>142</v>
      </c>
      <c r="H11" s="20" t="s">
        <v>142</v>
      </c>
      <c r="I11" s="73" t="s">
        <v>295</v>
      </c>
    </row>
    <row r="12" customFormat="false" ht="15" hidden="false" customHeight="true" outlineLevel="0" collapsed="false">
      <c r="A12" s="5" t="s">
        <v>25</v>
      </c>
      <c r="B12" s="6" t="s">
        <v>142</v>
      </c>
      <c r="C12" s="6" t="s">
        <v>293</v>
      </c>
      <c r="D12" s="6" t="s">
        <v>305</v>
      </c>
      <c r="E12" s="7" t="n">
        <v>29485</v>
      </c>
      <c r="F12" s="8" t="n">
        <v>11.794</v>
      </c>
      <c r="G12" s="71" t="s">
        <v>142</v>
      </c>
      <c r="H12" s="71" t="s">
        <v>142</v>
      </c>
      <c r="I12" s="72" t="s">
        <v>298</v>
      </c>
    </row>
    <row r="13" customFormat="false" ht="15" hidden="false" customHeight="true" outlineLevel="0" collapsed="false">
      <c r="A13" s="9" t="s">
        <v>27</v>
      </c>
      <c r="B13" s="10" t="s">
        <v>306</v>
      </c>
      <c r="C13" s="10" t="s">
        <v>293</v>
      </c>
      <c r="D13" s="10" t="s">
        <v>307</v>
      </c>
      <c r="E13" s="11" t="n">
        <v>35750</v>
      </c>
      <c r="F13" s="12" t="n">
        <v>7.606</v>
      </c>
      <c r="G13" s="20" t="s">
        <v>142</v>
      </c>
      <c r="H13" s="20" t="s">
        <v>142</v>
      </c>
      <c r="I13" s="73" t="s">
        <v>300</v>
      </c>
    </row>
    <row r="14" customFormat="false" ht="15" hidden="false" customHeight="true" outlineLevel="0" collapsed="false">
      <c r="A14" s="5" t="s">
        <v>32</v>
      </c>
      <c r="B14" s="6" t="s">
        <v>142</v>
      </c>
      <c r="C14" s="6" t="s">
        <v>293</v>
      </c>
      <c r="D14" s="6" t="s">
        <v>301</v>
      </c>
      <c r="E14" s="7" t="n">
        <v>5900</v>
      </c>
      <c r="F14" s="8" t="n">
        <v>5.9</v>
      </c>
      <c r="G14" s="71" t="s">
        <v>142</v>
      </c>
      <c r="H14" s="71" t="s">
        <v>142</v>
      </c>
      <c r="I14" s="72" t="s">
        <v>298</v>
      </c>
    </row>
    <row r="15" customFormat="false" ht="15" hidden="false" customHeight="true" outlineLevel="0" collapsed="false">
      <c r="A15" s="9" t="s">
        <v>30</v>
      </c>
      <c r="B15" s="10" t="s">
        <v>142</v>
      </c>
      <c r="C15" s="10" t="s">
        <v>293</v>
      </c>
      <c r="D15" s="10" t="s">
        <v>301</v>
      </c>
      <c r="E15" s="11" t="n">
        <v>8676</v>
      </c>
      <c r="F15" s="12" t="n">
        <v>8.676</v>
      </c>
      <c r="G15" s="20" t="s">
        <v>142</v>
      </c>
      <c r="H15" s="20" t="s">
        <v>142</v>
      </c>
      <c r="I15" s="73" t="s">
        <v>298</v>
      </c>
    </row>
    <row r="16" customFormat="false" ht="15" hidden="false" customHeight="true" outlineLevel="0" collapsed="false">
      <c r="A16" s="5" t="s">
        <v>47</v>
      </c>
      <c r="B16" s="6" t="s">
        <v>142</v>
      </c>
      <c r="C16" s="6" t="s">
        <v>293</v>
      </c>
      <c r="D16" s="6" t="s">
        <v>294</v>
      </c>
      <c r="E16" s="7" t="n">
        <v>14625</v>
      </c>
      <c r="F16" s="8" t="n">
        <v>1.462</v>
      </c>
      <c r="G16" s="71" t="s">
        <v>142</v>
      </c>
      <c r="H16" s="71" t="s">
        <v>142</v>
      </c>
      <c r="I16" s="72" t="s">
        <v>298</v>
      </c>
    </row>
    <row r="17" customFormat="false" ht="15" hidden="false" customHeight="true" outlineLevel="0" collapsed="false">
      <c r="A17" s="9"/>
      <c r="B17" s="9"/>
      <c r="C17" s="10"/>
      <c r="D17" s="10"/>
      <c r="E17" s="10"/>
      <c r="F17" s="10"/>
      <c r="G17" s="10"/>
      <c r="H17" s="10"/>
      <c r="I17" s="9"/>
    </row>
    <row r="18" customFormat="false" ht="15" hidden="false" customHeight="true" outlineLevel="0" collapsed="false">
      <c r="A18" s="5"/>
      <c r="B18" s="5"/>
      <c r="C18" s="6"/>
      <c r="D18" s="6"/>
      <c r="E18" s="6"/>
      <c r="F18" s="6"/>
      <c r="G18" s="6"/>
      <c r="H18" s="6"/>
      <c r="I18" s="5"/>
    </row>
    <row r="19" customFormat="false" ht="15" hidden="false" customHeight="true" outlineLevel="0" collapsed="false">
      <c r="A19" s="9"/>
      <c r="B19" s="9"/>
      <c r="C19" s="10"/>
      <c r="D19" s="10"/>
      <c r="E19" s="10"/>
      <c r="F19" s="10"/>
      <c r="G19" s="10"/>
      <c r="H19" s="10"/>
      <c r="I19" s="9"/>
    </row>
    <row r="20" customFormat="false" ht="15" hidden="false" customHeight="true" outlineLevel="0" collapsed="false">
      <c r="A20" s="5"/>
      <c r="B20" s="5"/>
      <c r="C20" s="6"/>
      <c r="D20" s="6"/>
      <c r="E20" s="6"/>
      <c r="F20" s="6"/>
      <c r="G20" s="6"/>
      <c r="H20" s="6"/>
      <c r="I20" s="5"/>
    </row>
    <row r="21" customFormat="false" ht="15" hidden="false" customHeight="true" outlineLevel="0" collapsed="false">
      <c r="A21" s="9"/>
      <c r="B21" s="9"/>
      <c r="C21" s="10"/>
      <c r="D21" s="10"/>
      <c r="E21" s="10"/>
      <c r="F21" s="10"/>
      <c r="G21" s="10"/>
      <c r="H21" s="10"/>
      <c r="I21" s="9"/>
    </row>
    <row r="22" customFormat="false" ht="15" hidden="false" customHeight="true" outlineLevel="0" collapsed="false">
      <c r="A22" s="5"/>
      <c r="B22" s="5"/>
      <c r="C22" s="6"/>
      <c r="D22" s="6"/>
      <c r="E22" s="6"/>
      <c r="F22" s="6"/>
      <c r="G22" s="6"/>
      <c r="H22" s="6"/>
      <c r="I22" s="5"/>
    </row>
    <row r="23" customFormat="false" ht="15" hidden="false" customHeight="true" outlineLevel="0" collapsed="false">
      <c r="A23" s="9"/>
      <c r="B23" s="9"/>
      <c r="C23" s="10"/>
      <c r="D23" s="10"/>
      <c r="E23" s="10"/>
      <c r="F23" s="10"/>
      <c r="G23" s="10"/>
      <c r="H23" s="10"/>
      <c r="I23" s="9"/>
    </row>
    <row r="24" customFormat="false" ht="15" hidden="false" customHeight="true" outlineLevel="0" collapsed="false">
      <c r="A24" s="5"/>
      <c r="B24" s="5"/>
      <c r="C24" s="6"/>
      <c r="D24" s="6"/>
      <c r="E24" s="6"/>
      <c r="F24" s="6"/>
      <c r="G24" s="6"/>
      <c r="H24" s="6"/>
      <c r="I24" s="5"/>
    </row>
    <row r="25" customFormat="false" ht="15" hidden="false" customHeight="true" outlineLevel="0" collapsed="false">
      <c r="A25" s="9"/>
      <c r="B25" s="9"/>
      <c r="C25" s="10"/>
      <c r="D25" s="10"/>
      <c r="E25" s="10"/>
      <c r="F25" s="10"/>
      <c r="G25" s="10"/>
      <c r="H25" s="10"/>
      <c r="I25" s="9"/>
    </row>
    <row r="26" customFormat="false" ht="15" hidden="false" customHeight="true" outlineLevel="0" collapsed="false">
      <c r="A26" s="5"/>
      <c r="B26" s="5"/>
      <c r="C26" s="6"/>
      <c r="D26" s="6"/>
      <c r="E26" s="6"/>
      <c r="F26" s="6"/>
      <c r="G26" s="6"/>
      <c r="H26" s="6"/>
      <c r="I26" s="5"/>
    </row>
    <row r="27" customFormat="false" ht="15" hidden="false" customHeight="true" outlineLevel="0" collapsed="false">
      <c r="A27" s="9"/>
      <c r="B27" s="9"/>
      <c r="C27" s="10"/>
      <c r="D27" s="10"/>
      <c r="E27" s="10"/>
      <c r="F27" s="10"/>
      <c r="G27" s="10"/>
      <c r="H27" s="10"/>
      <c r="I27" s="9"/>
    </row>
    <row r="28" customFormat="false" ht="15" hidden="false" customHeight="true" outlineLevel="0" collapsed="false">
      <c r="A28" s="5"/>
      <c r="B28" s="5"/>
      <c r="C28" s="6"/>
      <c r="D28" s="6"/>
      <c r="E28" s="6"/>
      <c r="F28" s="6"/>
      <c r="G28" s="6"/>
      <c r="H28" s="6"/>
      <c r="I28" s="5"/>
    </row>
    <row r="29" customFormat="false" ht="15" hidden="false" customHeight="true" outlineLevel="0" collapsed="false">
      <c r="A29" s="9"/>
      <c r="B29" s="9"/>
      <c r="C29" s="10"/>
      <c r="D29" s="10"/>
      <c r="E29" s="10"/>
      <c r="F29" s="10"/>
      <c r="G29" s="10"/>
      <c r="H29" s="10"/>
      <c r="I29" s="9"/>
    </row>
    <row r="30" customFormat="false" ht="15" hidden="false" customHeight="true" outlineLevel="0" collapsed="false">
      <c r="A30" s="5"/>
      <c r="B30" s="5"/>
      <c r="C30" s="6"/>
      <c r="D30" s="6"/>
      <c r="E30" s="6"/>
      <c r="F30" s="6"/>
      <c r="G30" s="6"/>
      <c r="H30" s="6"/>
      <c r="I30" s="5"/>
    </row>
    <row r="31" customFormat="false" ht="15" hidden="false" customHeight="true" outlineLevel="0" collapsed="false">
      <c r="A31" s="9"/>
      <c r="B31" s="9"/>
      <c r="C31" s="10"/>
      <c r="D31" s="10"/>
      <c r="E31" s="10"/>
      <c r="F31" s="10"/>
      <c r="G31" s="10"/>
      <c r="H31" s="10"/>
      <c r="I31" s="9"/>
    </row>
    <row r="34" customFormat="false" ht="21.75" hidden="false" customHeight="true" outlineLevel="0" collapsed="false">
      <c r="A34" s="15" t="s">
        <v>308</v>
      </c>
    </row>
    <row r="35" customFormat="false" ht="34.5" hidden="false" customHeight="true" outlineLevel="0" collapsed="false">
      <c r="A35" s="70" t="s">
        <v>1</v>
      </c>
      <c r="B35" s="70" t="s">
        <v>2</v>
      </c>
      <c r="C35" s="70" t="s">
        <v>309</v>
      </c>
      <c r="D35" s="70" t="s">
        <v>310</v>
      </c>
      <c r="E35" s="70" t="s">
        <v>311</v>
      </c>
      <c r="F35" s="70" t="s">
        <v>312</v>
      </c>
      <c r="G35" s="70" t="s">
        <v>313</v>
      </c>
      <c r="H35" s="70" t="s">
        <v>314</v>
      </c>
      <c r="I35" s="70" t="s">
        <v>315</v>
      </c>
    </row>
    <row r="36" customFormat="false" ht="15" hidden="false" customHeight="true" outlineLevel="0" collapsed="false">
      <c r="A36" s="5" t="s">
        <v>12</v>
      </c>
      <c r="B36" s="6" t="s">
        <v>294</v>
      </c>
      <c r="C36" s="18" t="n">
        <v>23100</v>
      </c>
      <c r="D36" s="18"/>
      <c r="E36" s="18"/>
      <c r="F36" s="57" t="n">
        <f aca="false">IFERROR(MIN(C36,IF(D36&lt;&gt;"",D36,C36),IF(E36&lt;&gt;"",E36,C36)),"—")</f>
        <v>23100</v>
      </c>
      <c r="G36" s="74" t="n">
        <f aca="false">IFERROR(C36-F36,"—")</f>
        <v>0</v>
      </c>
      <c r="H36" s="75" t="n">
        <f aca="false">IFERROR((C36-F36)/C36,"—")</f>
        <v>0</v>
      </c>
      <c r="I36" s="76" t="str">
        <f aca="false">IFERROR(IF(F36&lt;C36,"⚡ Cambiar proveedor","✅ OK"),"—")</f>
        <v>✅ OK</v>
      </c>
    </row>
    <row r="37" customFormat="false" ht="15" hidden="false" customHeight="true" outlineLevel="0" collapsed="false">
      <c r="A37" s="9" t="s">
        <v>14</v>
      </c>
      <c r="B37" s="10" t="s">
        <v>294</v>
      </c>
      <c r="C37" s="18" t="n">
        <v>14875</v>
      </c>
      <c r="D37" s="18"/>
      <c r="E37" s="18"/>
      <c r="F37" s="57" t="n">
        <f aca="false">IFERROR(MIN(C37,IF(D37&lt;&gt;"",D37,C37),IF(E37&lt;&gt;"",E37,C37)),"—")</f>
        <v>14875</v>
      </c>
      <c r="G37" s="74" t="n">
        <f aca="false">IFERROR(C37-F37,"—")</f>
        <v>0</v>
      </c>
      <c r="H37" s="77" t="n">
        <f aca="false">IFERROR((C37-F37)/C37,"—")</f>
        <v>0</v>
      </c>
      <c r="I37" s="78" t="str">
        <f aca="false">IFERROR(IF(F37&lt;C37,"⚡ Cambiar proveedor","✅ OK"),"—")</f>
        <v>✅ OK</v>
      </c>
    </row>
    <row r="38" customFormat="false" ht="15" hidden="false" customHeight="true" outlineLevel="0" collapsed="false">
      <c r="A38" s="5" t="s">
        <v>302</v>
      </c>
      <c r="B38" s="6" t="s">
        <v>304</v>
      </c>
      <c r="C38" s="18" t="n">
        <v>10600</v>
      </c>
      <c r="D38" s="18"/>
      <c r="E38" s="18"/>
      <c r="F38" s="57" t="n">
        <f aca="false">IFERROR(MIN(C38,IF(D38&lt;&gt;"",D38,C38),IF(E38&lt;&gt;"",E38,C38)),"—")</f>
        <v>10600</v>
      </c>
      <c r="G38" s="74" t="n">
        <f aca="false">IFERROR(C38-F38,"—")</f>
        <v>0</v>
      </c>
      <c r="H38" s="75" t="n">
        <f aca="false">IFERROR((C38-F38)/C38,"—")</f>
        <v>0</v>
      </c>
      <c r="I38" s="76" t="str">
        <f aca="false">IFERROR(IF(F38&lt;C38,"⚡ Cambiar proveedor","✅ OK"),"—")</f>
        <v>✅ OK</v>
      </c>
    </row>
    <row r="39" customFormat="false" ht="15" hidden="false" customHeight="true" outlineLevel="0" collapsed="false">
      <c r="A39" s="9" t="s">
        <v>25</v>
      </c>
      <c r="B39" s="10" t="s">
        <v>305</v>
      </c>
      <c r="C39" s="18" t="n">
        <v>29485</v>
      </c>
      <c r="D39" s="18"/>
      <c r="E39" s="18"/>
      <c r="F39" s="57" t="n">
        <f aca="false">IFERROR(MIN(C39,IF(D39&lt;&gt;"",D39,C39),IF(E39&lt;&gt;"",E39,C39)),"—")</f>
        <v>29485</v>
      </c>
      <c r="G39" s="74" t="n">
        <f aca="false">IFERROR(C39-F39,"—")</f>
        <v>0</v>
      </c>
      <c r="H39" s="77" t="n">
        <f aca="false">IFERROR((C39-F39)/C39,"—")</f>
        <v>0</v>
      </c>
      <c r="I39" s="78" t="str">
        <f aca="false">IFERROR(IF(F39&lt;C39,"⚡ Cambiar proveedor","✅ OK"),"—")</f>
        <v>✅ OK</v>
      </c>
    </row>
    <row r="40" customFormat="false" ht="15" hidden="false" customHeight="true" outlineLevel="0" collapsed="false">
      <c r="A40" s="5" t="s">
        <v>27</v>
      </c>
      <c r="B40" s="6" t="s">
        <v>307</v>
      </c>
      <c r="C40" s="18" t="n">
        <v>35750</v>
      </c>
      <c r="D40" s="18"/>
      <c r="E40" s="18"/>
      <c r="F40" s="57" t="n">
        <f aca="false">IFERROR(MIN(C40,IF(D40&lt;&gt;"",D40,C40),IF(E40&lt;&gt;"",E40,C40)),"—")</f>
        <v>35750</v>
      </c>
      <c r="G40" s="74" t="n">
        <f aca="false">IFERROR(C40-F40,"—")</f>
        <v>0</v>
      </c>
      <c r="H40" s="75" t="n">
        <f aca="false">IFERROR((C40-F40)/C40,"—")</f>
        <v>0</v>
      </c>
      <c r="I40" s="76" t="str">
        <f aca="false">IFERROR(IF(F40&lt;C40,"⚡ Cambiar proveedor","✅ OK"),"—")</f>
        <v>✅ OK</v>
      </c>
    </row>
    <row r="41" customFormat="false" ht="15" hidden="false" customHeight="true" outlineLevel="0" collapsed="false">
      <c r="A41" s="9" t="s">
        <v>32</v>
      </c>
      <c r="B41" s="10" t="s">
        <v>301</v>
      </c>
      <c r="C41" s="18" t="n">
        <v>5900</v>
      </c>
      <c r="D41" s="18"/>
      <c r="E41" s="18"/>
      <c r="F41" s="57" t="n">
        <f aca="false">IFERROR(MIN(C41,IF(D41&lt;&gt;"",D41,C41),IF(E41&lt;&gt;"",E41,C41)),"—")</f>
        <v>5900</v>
      </c>
      <c r="G41" s="74" t="n">
        <f aca="false">IFERROR(C41-F41,"—")</f>
        <v>0</v>
      </c>
      <c r="H41" s="77" t="n">
        <f aca="false">IFERROR((C41-F41)/C41,"—")</f>
        <v>0</v>
      </c>
      <c r="I41" s="78" t="str">
        <f aca="false">IFERROR(IF(F41&lt;C41,"⚡ Cambiar proveedor","✅ OK"),"—")</f>
        <v>✅ OK</v>
      </c>
    </row>
    <row r="42" customFormat="false" ht="15" hidden="false" customHeight="true" outlineLevel="0" collapsed="false">
      <c r="A42" s="5" t="s">
        <v>30</v>
      </c>
      <c r="B42" s="6" t="s">
        <v>301</v>
      </c>
      <c r="C42" s="18" t="n">
        <v>8676</v>
      </c>
      <c r="D42" s="18"/>
      <c r="E42" s="18"/>
      <c r="F42" s="57" t="n">
        <f aca="false">IFERROR(MIN(C42,IF(D42&lt;&gt;"",D42,C42),IF(E42&lt;&gt;"",E42,C42)),"—")</f>
        <v>8676</v>
      </c>
      <c r="G42" s="74" t="n">
        <f aca="false">IFERROR(C42-F42,"—")</f>
        <v>0</v>
      </c>
      <c r="H42" s="75" t="n">
        <f aca="false">IFERROR((C42-F42)/C42,"—")</f>
        <v>0</v>
      </c>
      <c r="I42" s="76" t="str">
        <f aca="false">IFERROR(IF(F42&lt;C42,"⚡ Cambiar proveedor","✅ OK"),"—")</f>
        <v>✅ OK</v>
      </c>
    </row>
    <row r="43" customFormat="false" ht="15" hidden="false" customHeight="true" outlineLevel="0" collapsed="false">
      <c r="A43" s="9" t="s">
        <v>47</v>
      </c>
      <c r="B43" s="10" t="s">
        <v>294</v>
      </c>
      <c r="C43" s="18" t="n">
        <v>14625</v>
      </c>
      <c r="D43" s="18"/>
      <c r="E43" s="18"/>
      <c r="F43" s="57" t="n">
        <f aca="false">IFERROR(MIN(C43,IF(D43&lt;&gt;"",D43,C43),IF(E43&lt;&gt;"",E43,C43)),"—")</f>
        <v>14625</v>
      </c>
      <c r="G43" s="74" t="n">
        <f aca="false">IFERROR(C43-F43,"—")</f>
        <v>0</v>
      </c>
      <c r="H43" s="77" t="n">
        <f aca="false">IFERROR((C43-F43)/C43,"—")</f>
        <v>0</v>
      </c>
      <c r="I43" s="78" t="str">
        <f aca="false">IFERROR(IF(F43&lt;C43,"⚡ Cambiar proveedor","✅ OK"),"—")</f>
        <v>✅ OK</v>
      </c>
    </row>
    <row r="44" customFormat="false" ht="15" hidden="false" customHeight="true" outlineLevel="0" collapsed="false">
      <c r="A44" s="5" t="s">
        <v>15</v>
      </c>
      <c r="B44" s="6" t="s">
        <v>299</v>
      </c>
      <c r="C44" s="18" t="n">
        <v>25000</v>
      </c>
      <c r="D44" s="18"/>
      <c r="E44" s="18"/>
      <c r="F44" s="57" t="n">
        <f aca="false">IFERROR(MIN(C44,IF(D44&lt;&gt;"",D44,C44),IF(E44&lt;&gt;"",E44,C44)),"—")</f>
        <v>25000</v>
      </c>
      <c r="G44" s="74" t="n">
        <f aca="false">IFERROR(C44-F44,"—")</f>
        <v>0</v>
      </c>
      <c r="H44" s="75" t="n">
        <f aca="false">IFERROR((C44-F44)/C44,"—")</f>
        <v>0</v>
      </c>
      <c r="I44" s="76" t="str">
        <f aca="false">IFERROR(IF(F44&lt;C44,"⚡ Cambiar proveedor","✅ OK"),"—")</f>
        <v>✅ OK</v>
      </c>
    </row>
    <row r="45" customFormat="false" ht="15" hidden="false" customHeight="true" outlineLevel="0" collapsed="false">
      <c r="A45" s="9" t="s">
        <v>19</v>
      </c>
      <c r="B45" s="10" t="s">
        <v>301</v>
      </c>
      <c r="C45" s="18" t="n">
        <v>11000</v>
      </c>
      <c r="D45" s="18"/>
      <c r="E45" s="18"/>
      <c r="F45" s="57" t="n">
        <f aca="false">IFERROR(MIN(C45,IF(D45&lt;&gt;"",D45,C45),IF(E45&lt;&gt;"",E45,C45)),"—")</f>
        <v>11000</v>
      </c>
      <c r="G45" s="74" t="n">
        <f aca="false">IFERROR(C45-F45,"—")</f>
        <v>0</v>
      </c>
      <c r="H45" s="77" t="n">
        <f aca="false">IFERROR((C45-F45)/C45,"—")</f>
        <v>0</v>
      </c>
      <c r="I45" s="78" t="str">
        <f aca="false">IFERROR(IF(F45&lt;C45,"⚡ Cambiar proveedor","✅ OK"),"—")</f>
        <v>✅ OK</v>
      </c>
    </row>
    <row r="48" customFormat="false" ht="21.75" hidden="false" customHeight="true" outlineLevel="0" collapsed="false">
      <c r="A48" s="15" t="s">
        <v>316</v>
      </c>
    </row>
    <row r="49" customFormat="false" ht="27.75" hidden="false" customHeight="true" outlineLevel="0" collapsed="false">
      <c r="A49" s="70" t="s">
        <v>286</v>
      </c>
      <c r="B49" s="70" t="s">
        <v>317</v>
      </c>
      <c r="C49" s="70" t="s">
        <v>318</v>
      </c>
      <c r="D49" s="70" t="s">
        <v>319</v>
      </c>
      <c r="E49" s="70" t="s">
        <v>320</v>
      </c>
      <c r="F49" s="70" t="s">
        <v>321</v>
      </c>
      <c r="G49" s="70" t="s">
        <v>322</v>
      </c>
      <c r="H49" s="70" t="s">
        <v>323</v>
      </c>
      <c r="I49" s="70" t="s">
        <v>324</v>
      </c>
    </row>
    <row r="50" customFormat="false" ht="15" hidden="false" customHeight="true" outlineLevel="0" collapsed="false">
      <c r="A50" s="5" t="s">
        <v>292</v>
      </c>
      <c r="B50" s="5" t="s">
        <v>325</v>
      </c>
      <c r="C50" s="5" t="s">
        <v>142</v>
      </c>
      <c r="D50" s="5" t="s">
        <v>326</v>
      </c>
      <c r="E50" s="6" t="s">
        <v>327</v>
      </c>
      <c r="F50" s="6" t="s">
        <v>328</v>
      </c>
      <c r="G50" s="6" t="s">
        <v>329</v>
      </c>
      <c r="H50" s="6" t="s">
        <v>293</v>
      </c>
      <c r="I50" s="5" t="s">
        <v>330</v>
      </c>
    </row>
    <row r="51" customFormat="false" ht="15" hidden="false" customHeight="true" outlineLevel="0" collapsed="false">
      <c r="A51" s="9" t="s">
        <v>306</v>
      </c>
      <c r="B51" s="9" t="s">
        <v>331</v>
      </c>
      <c r="C51" s="9" t="s">
        <v>142</v>
      </c>
      <c r="D51" s="9" t="s">
        <v>142</v>
      </c>
      <c r="E51" s="10" t="s">
        <v>142</v>
      </c>
      <c r="F51" s="10" t="s">
        <v>142</v>
      </c>
      <c r="G51" s="10" t="s">
        <v>142</v>
      </c>
      <c r="H51" s="10" t="s">
        <v>142</v>
      </c>
      <c r="I51" s="9" t="s">
        <v>332</v>
      </c>
    </row>
    <row r="52" customFormat="false" ht="15" hidden="false" customHeight="true" outlineLevel="0" collapsed="false">
      <c r="A52" s="5" t="s">
        <v>333</v>
      </c>
      <c r="B52" s="5" t="s">
        <v>334</v>
      </c>
      <c r="C52" s="5" t="s">
        <v>142</v>
      </c>
      <c r="D52" s="5" t="s">
        <v>335</v>
      </c>
      <c r="E52" s="6" t="s">
        <v>336</v>
      </c>
      <c r="F52" s="6" t="s">
        <v>328</v>
      </c>
      <c r="G52" s="6" t="s">
        <v>329</v>
      </c>
      <c r="H52" s="6" t="s">
        <v>293</v>
      </c>
      <c r="I52" s="5" t="s">
        <v>337</v>
      </c>
    </row>
    <row r="53" customFormat="false" ht="15" hidden="false" customHeight="true" outlineLevel="0" collapsed="false">
      <c r="A53" s="9" t="s">
        <v>338</v>
      </c>
      <c r="B53" s="9" t="s">
        <v>339</v>
      </c>
      <c r="C53" s="9" t="s">
        <v>340</v>
      </c>
      <c r="D53" s="9" t="s">
        <v>341</v>
      </c>
      <c r="E53" s="10" t="s">
        <v>142</v>
      </c>
      <c r="F53" s="10" t="s">
        <v>142</v>
      </c>
      <c r="G53" s="10" t="s">
        <v>142</v>
      </c>
      <c r="H53" s="10" t="s">
        <v>142</v>
      </c>
      <c r="I53" s="9" t="s">
        <v>342</v>
      </c>
    </row>
    <row r="54" customFormat="false" ht="15" hidden="false" customHeight="true" outlineLevel="0" collapsed="false">
      <c r="A54" s="5" t="s">
        <v>343</v>
      </c>
      <c r="B54" s="5" t="s">
        <v>344</v>
      </c>
      <c r="C54" s="5" t="s">
        <v>345</v>
      </c>
      <c r="D54" s="5" t="s">
        <v>346</v>
      </c>
      <c r="E54" s="6" t="s">
        <v>142</v>
      </c>
      <c r="F54" s="6" t="s">
        <v>142</v>
      </c>
      <c r="G54" s="6" t="s">
        <v>142</v>
      </c>
      <c r="H54" s="6" t="s">
        <v>142</v>
      </c>
      <c r="I54" s="5" t="s">
        <v>347</v>
      </c>
    </row>
    <row r="55" customFormat="false" ht="15" hidden="false" customHeight="true" outlineLevel="0" collapsed="false">
      <c r="A55" s="9"/>
      <c r="B55" s="9"/>
      <c r="C55" s="9"/>
      <c r="D55" s="9"/>
      <c r="E55" s="9"/>
      <c r="F55" s="9"/>
      <c r="G55" s="9"/>
      <c r="H55" s="9"/>
      <c r="I55" s="9"/>
    </row>
    <row r="56" customFormat="false" ht="1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</row>
    <row r="57" customFormat="false" ht="15" hidden="false" customHeight="true" outlineLevel="0" collapsed="false">
      <c r="A57" s="9"/>
      <c r="B57" s="9"/>
      <c r="C57" s="9"/>
      <c r="D57" s="9"/>
      <c r="E57" s="9"/>
      <c r="F57" s="9"/>
      <c r="G57" s="9"/>
      <c r="H57" s="9"/>
      <c r="I57" s="9"/>
    </row>
    <row r="58" customFormat="false" ht="1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</row>
    <row r="59" customFormat="false" ht="15" hidden="false" customHeight="true" outlineLevel="0" collapsed="false">
      <c r="A59" s="9"/>
      <c r="B59" s="9"/>
      <c r="C59" s="9"/>
      <c r="D59" s="9"/>
      <c r="E59" s="9"/>
      <c r="F59" s="9"/>
      <c r="G59" s="9"/>
      <c r="H59" s="9"/>
      <c r="I59" s="9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</row>
    <row r="61" customFormat="false" ht="15" hidden="false" customHeight="true" outlineLevel="0" collapsed="false">
      <c r="A61" s="9"/>
      <c r="B61" s="9"/>
      <c r="C61" s="9"/>
      <c r="D61" s="9"/>
      <c r="E61" s="9"/>
      <c r="F61" s="9"/>
      <c r="G61" s="9"/>
      <c r="H61" s="9"/>
      <c r="I61" s="9"/>
    </row>
    <row r="62" customFormat="false" ht="1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</row>
    <row r="63" customFormat="false" ht="15" hidden="false" customHeight="true" outlineLevel="0" collapsed="false">
      <c r="A63" s="9"/>
      <c r="B63" s="9"/>
      <c r="C63" s="9"/>
      <c r="D63" s="9"/>
      <c r="E63" s="9"/>
      <c r="F63" s="9"/>
      <c r="G63" s="9"/>
      <c r="H63" s="9"/>
      <c r="I63" s="9"/>
    </row>
    <row r="64" customFormat="false" ht="1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</row>
    <row r="65" customFormat="false" ht="15" hidden="false" customHeight="true" outlineLevel="0" collapsed="false">
      <c r="A65" s="9"/>
      <c r="B65" s="9"/>
      <c r="C65" s="9"/>
      <c r="D65" s="9"/>
      <c r="E65" s="9"/>
      <c r="F65" s="9"/>
      <c r="G65" s="9"/>
      <c r="H65" s="9"/>
      <c r="I65" s="9"/>
    </row>
    <row r="66" customFormat="false" ht="1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</row>
    <row r="67" customFormat="false" ht="15" hidden="false" customHeight="true" outlineLevel="0" collapsed="false">
      <c r="A67" s="9"/>
      <c r="B67" s="9"/>
      <c r="C67" s="9"/>
      <c r="D67" s="9"/>
      <c r="E67" s="9"/>
      <c r="F67" s="9"/>
      <c r="G67" s="9"/>
      <c r="H67" s="9"/>
      <c r="I67" s="9"/>
    </row>
    <row r="68" customFormat="false" ht="1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</row>
    <row r="69" customFormat="false" ht="15" hidden="false" customHeight="true" outlineLevel="0" collapsed="false">
      <c r="A69" s="9"/>
      <c r="B69" s="9"/>
      <c r="C69" s="9"/>
      <c r="D69" s="9"/>
      <c r="E69" s="9"/>
      <c r="F69" s="9"/>
      <c r="G69" s="9"/>
      <c r="H69" s="9"/>
      <c r="I69" s="9"/>
    </row>
    <row r="70" customFormat="false" ht="1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</row>
    <row r="71" customFormat="false" ht="15" hidden="false" customHeight="true" outlineLevel="0" collapsed="false">
      <c r="A71" s="9"/>
      <c r="B71" s="9"/>
      <c r="C71" s="9"/>
      <c r="D71" s="9"/>
      <c r="E71" s="9"/>
      <c r="F71" s="9"/>
      <c r="G71" s="9"/>
      <c r="H71" s="9"/>
      <c r="I71" s="9"/>
    </row>
    <row r="72" customFormat="false" ht="18" hidden="false" customHeight="true" outlineLevel="0" collapsed="false">
      <c r="A72" s="69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6" min="5" style="1" width="18"/>
    <col collapsed="false" customWidth="true" hidden="false" outlineLevel="0" max="8" min="7" style="1" width="16"/>
  </cols>
  <sheetData>
    <row r="1" customFormat="false" ht="30" hidden="false" customHeight="true" outlineLevel="0" collapsed="false">
      <c r="A1" s="14" t="s">
        <v>349</v>
      </c>
    </row>
    <row r="2" customFormat="false" ht="15.75" hidden="false" customHeight="true" outlineLevel="0" collapsed="false">
      <c r="A2" s="52" t="s">
        <v>350</v>
      </c>
    </row>
    <row r="3" customFormat="false" ht="30" hidden="false" customHeight="true" outlineLevel="0" collapsed="false">
      <c r="A3" s="70" t="s">
        <v>351</v>
      </c>
      <c r="B3" s="70" t="s">
        <v>352</v>
      </c>
      <c r="C3" s="70" t="s">
        <v>353</v>
      </c>
      <c r="D3" s="70" t="s">
        <v>354</v>
      </c>
      <c r="E3" s="70" t="s">
        <v>355</v>
      </c>
      <c r="F3" s="70" t="s">
        <v>356</v>
      </c>
      <c r="G3" s="70" t="s">
        <v>357</v>
      </c>
      <c r="H3" s="70" t="s">
        <v>358</v>
      </c>
    </row>
    <row r="4" customFormat="false" ht="15" hidden="false" customHeight="true" outlineLevel="0" collapsed="false">
      <c r="A4" s="5" t="s">
        <v>359</v>
      </c>
      <c r="B4" s="79" t="n">
        <v>10</v>
      </c>
      <c r="C4" s="7" t="n">
        <f aca="false">'Recetas y Márgenes'!E51</f>
        <v>583.24598019802</v>
      </c>
      <c r="D4" s="7" t="n">
        <f aca="false">B4*C4</f>
        <v>5832.4598019802</v>
      </c>
      <c r="E4" s="18" t="n">
        <v>4000</v>
      </c>
      <c r="F4" s="80" t="n">
        <f aca="false">B4*E4</f>
        <v>40000</v>
      </c>
      <c r="G4" s="80" t="n">
        <f aca="false">F4-D4</f>
        <v>34167.5401980198</v>
      </c>
      <c r="H4" s="81" t="n">
        <f aca="false">IFERROR(G4/F4,0)</f>
        <v>0.854188504950495</v>
      </c>
    </row>
    <row r="5" customFormat="false" ht="15" hidden="false" customHeight="true" outlineLevel="0" collapsed="false">
      <c r="A5" s="9" t="s">
        <v>360</v>
      </c>
      <c r="B5" s="79" t="n">
        <v>15</v>
      </c>
      <c r="C5" s="11" t="n">
        <f aca="false">'Recetas y Márgenes'!E110</f>
        <v>341.877302970297</v>
      </c>
      <c r="D5" s="11" t="n">
        <f aca="false">B5*C5</f>
        <v>5128.15954455446</v>
      </c>
      <c r="E5" s="18" t="n">
        <v>2500</v>
      </c>
      <c r="F5" s="80" t="n">
        <f aca="false">B5*E5</f>
        <v>37500</v>
      </c>
      <c r="G5" s="80" t="n">
        <f aca="false">F5-D5</f>
        <v>32371.8404554455</v>
      </c>
      <c r="H5" s="81" t="n">
        <f aca="false">IFERROR(G5/F5,0)</f>
        <v>0.863249078811881</v>
      </c>
    </row>
    <row r="6" customFormat="false" ht="15" hidden="false" customHeight="true" outlineLevel="0" collapsed="false">
      <c r="A6" s="5" t="s">
        <v>361</v>
      </c>
      <c r="B6" s="79" t="n">
        <v>15</v>
      </c>
      <c r="C6" s="7" t="n">
        <f aca="false">'Recetas y Márgenes'!E103</f>
        <v>314.657737293729</v>
      </c>
      <c r="D6" s="7" t="n">
        <f aca="false">B6*C6</f>
        <v>4719.86605940594</v>
      </c>
      <c r="E6" s="18" t="n">
        <v>2500</v>
      </c>
      <c r="F6" s="80" t="n">
        <f aca="false">B6*E6</f>
        <v>37500</v>
      </c>
      <c r="G6" s="80" t="n">
        <f aca="false">F6-D6</f>
        <v>32780.1339405941</v>
      </c>
      <c r="H6" s="81" t="n">
        <f aca="false">IFERROR(G6/F6,0)</f>
        <v>0.874136905082508</v>
      </c>
    </row>
    <row r="7" customFormat="false" ht="15" hidden="false" customHeight="true" outlineLevel="0" collapsed="false">
      <c r="A7" s="9" t="s">
        <v>362</v>
      </c>
      <c r="B7" s="79" t="n">
        <v>36</v>
      </c>
      <c r="C7" s="11" t="n">
        <f aca="false">'Recetas y Márgenes'!E77</f>
        <v>579.280289957567</v>
      </c>
      <c r="D7" s="11" t="n">
        <f aca="false">B7*C7</f>
        <v>20854.0904384724</v>
      </c>
      <c r="E7" s="18" t="n">
        <v>2500</v>
      </c>
      <c r="F7" s="80" t="n">
        <f aca="false">B7*E7</f>
        <v>90000</v>
      </c>
      <c r="G7" s="80" t="n">
        <f aca="false">F7-D7</f>
        <v>69145.9095615276</v>
      </c>
      <c r="H7" s="81" t="n">
        <f aca="false">IFERROR(G7/F7,0)</f>
        <v>0.768287884016973</v>
      </c>
    </row>
    <row r="8" customFormat="false" ht="15" hidden="false" customHeight="true" outlineLevel="0" collapsed="false">
      <c r="A8" s="5" t="s">
        <v>363</v>
      </c>
      <c r="B8" s="79" t="n">
        <v>24</v>
      </c>
      <c r="C8" s="7" t="n">
        <f aca="false">'Recetas y Márgenes'!E88</f>
        <v>749.211737953795</v>
      </c>
      <c r="D8" s="7" t="n">
        <f aca="false">B8*C8</f>
        <v>17981.0817108911</v>
      </c>
      <c r="E8" s="18" t="n">
        <v>2500</v>
      </c>
      <c r="F8" s="80" t="n">
        <f aca="false">B8*E8</f>
        <v>60000</v>
      </c>
      <c r="G8" s="80" t="n">
        <f aca="false">F8-D8</f>
        <v>42018.9182891089</v>
      </c>
      <c r="H8" s="81" t="n">
        <f aca="false">IFERROR(G8/F8,0)</f>
        <v>0.700315304818482</v>
      </c>
    </row>
    <row r="9" customFormat="false" ht="15" hidden="false" customHeight="true" outlineLevel="0" collapsed="false">
      <c r="A9" s="9" t="s">
        <v>364</v>
      </c>
      <c r="B9" s="79" t="n">
        <v>12</v>
      </c>
      <c r="C9" s="11" t="n">
        <f aca="false">'Recetas y Márgenes'!E154</f>
        <v>485.391171617162</v>
      </c>
      <c r="D9" s="11" t="n">
        <f aca="false">B9*C9</f>
        <v>5824.69405940594</v>
      </c>
      <c r="E9" s="18" t="n">
        <v>2500</v>
      </c>
      <c r="F9" s="80" t="n">
        <f aca="false">B9*E9</f>
        <v>30000</v>
      </c>
      <c r="G9" s="80" t="n">
        <f aca="false">F9-D9</f>
        <v>24175.3059405941</v>
      </c>
      <c r="H9" s="81" t="n">
        <f aca="false">IFERROR(G9/F9,0)</f>
        <v>0.805843531353135</v>
      </c>
    </row>
    <row r="10" customFormat="false" ht="15" hidden="false" customHeight="true" outlineLevel="0" collapsed="false">
      <c r="A10" s="5" t="s">
        <v>365</v>
      </c>
      <c r="B10" s="79" t="n">
        <v>40</v>
      </c>
      <c r="C10" s="7" t="n">
        <f aca="false">'Recetas y Márgenes'!E10</f>
        <v>1270.16495049505</v>
      </c>
      <c r="D10" s="7" t="n">
        <f aca="false">B10*C10</f>
        <v>50806.598019802</v>
      </c>
      <c r="E10" s="18" t="n">
        <v>6000</v>
      </c>
      <c r="F10" s="80" t="n">
        <f aca="false">B10*E10</f>
        <v>240000</v>
      </c>
      <c r="G10" s="80" t="n">
        <f aca="false">F10-D10</f>
        <v>189193.401980198</v>
      </c>
      <c r="H10" s="81" t="n">
        <f aca="false">IFERROR(G10/F10,0)</f>
        <v>0.788305841584158</v>
      </c>
    </row>
    <row r="11" customFormat="false" ht="24" hidden="false" customHeight="true" outlineLevel="0" collapsed="false">
      <c r="A11" s="9" t="s">
        <v>366</v>
      </c>
      <c r="B11" s="79" t="n">
        <v>96</v>
      </c>
      <c r="C11" s="11" t="n">
        <f aca="false">'Recetas y Márgenes'!E40</f>
        <v>350.022083333333</v>
      </c>
      <c r="D11" s="11" t="n">
        <f aca="false">B11*C11</f>
        <v>33602.12</v>
      </c>
      <c r="E11" s="18" t="n">
        <v>1000</v>
      </c>
      <c r="F11" s="80" t="n">
        <f aca="false">B11*E11</f>
        <v>96000</v>
      </c>
      <c r="G11" s="80" t="n">
        <f aca="false">F11-D11</f>
        <v>62397.88</v>
      </c>
      <c r="H11" s="81" t="n">
        <f aca="false">IFERROR(G11/F11,0)</f>
        <v>0.649977916666667</v>
      </c>
    </row>
    <row r="12" customFormat="false" ht="15" hidden="false" customHeight="true" outlineLevel="0" collapsed="false">
      <c r="A12" s="5" t="s">
        <v>367</v>
      </c>
      <c r="B12" s="79" t="n">
        <v>10</v>
      </c>
      <c r="C12" s="7" t="n">
        <f aca="false">'Recetas y Márgenes'!E31</f>
        <v>987.189836633663</v>
      </c>
      <c r="D12" s="7" t="n">
        <f aca="false">B12*C12</f>
        <v>9871.89836633663</v>
      </c>
      <c r="E12" s="18" t="n">
        <v>8500</v>
      </c>
      <c r="F12" s="80" t="n">
        <f aca="false">B12*E12</f>
        <v>85000</v>
      </c>
      <c r="G12" s="80" t="n">
        <f aca="false">F12-D12</f>
        <v>75128.1016336634</v>
      </c>
      <c r="H12" s="81" t="n">
        <f aca="false">IFERROR(G12/F12,0)</f>
        <v>0.883860019219569</v>
      </c>
    </row>
    <row r="13" customFormat="false" ht="21.75" hidden="false" customHeight="true" outlineLevel="0" collapsed="false">
      <c r="A13" s="9" t="s">
        <v>368</v>
      </c>
      <c r="B13" s="79" t="n">
        <v>14</v>
      </c>
      <c r="C13" s="11" t="n">
        <f aca="false">'Recetas y Márgenes'!E20</f>
        <v>300.4353</v>
      </c>
      <c r="D13" s="11" t="n">
        <f aca="false">B13*C13</f>
        <v>4206.0942</v>
      </c>
      <c r="E13" s="18" t="n">
        <v>3000</v>
      </c>
      <c r="F13" s="80" t="n">
        <f aca="false">B13*E13</f>
        <v>42000</v>
      </c>
      <c r="G13" s="80" t="n">
        <f aca="false">F13-D13</f>
        <v>37793.9058</v>
      </c>
      <c r="H13" s="81" t="n">
        <f aca="false">IFERROR(G13/F13,0)</f>
        <v>0.8998549</v>
      </c>
    </row>
    <row r="14" customFormat="false" ht="15" hidden="false" customHeight="true" outlineLevel="0" collapsed="false">
      <c r="A14" s="5" t="s">
        <v>369</v>
      </c>
      <c r="B14" s="79" t="n">
        <v>40</v>
      </c>
      <c r="C14" s="7" t="n">
        <f aca="false">'Recetas y Márgenes'!E119</f>
        <v>571.0576</v>
      </c>
      <c r="D14" s="7" t="n">
        <f aca="false">B14*C14</f>
        <v>22842.304</v>
      </c>
      <c r="E14" s="18" t="n">
        <v>1500</v>
      </c>
      <c r="F14" s="80" t="n">
        <f aca="false">B14*E14</f>
        <v>60000</v>
      </c>
      <c r="G14" s="80" t="n">
        <f aca="false">F14-D14</f>
        <v>37157.696</v>
      </c>
      <c r="H14" s="81" t="n">
        <f aca="false">IFERROR(G14/F14,0)</f>
        <v>0.619294933333333</v>
      </c>
    </row>
    <row r="15" customFormat="false" ht="15" hidden="false" customHeight="true" outlineLevel="0" collapsed="false">
      <c r="A15" s="9" t="s">
        <v>370</v>
      </c>
      <c r="B15" s="79" t="n">
        <v>1</v>
      </c>
      <c r="C15" s="11" t="n">
        <f aca="false">'Recetas y Márgenes'!E135</f>
        <v>8989.15315567727</v>
      </c>
      <c r="D15" s="11" t="n">
        <f aca="false">B15*C15</f>
        <v>8989.15315567727</v>
      </c>
      <c r="E15" s="18" t="n">
        <v>36000</v>
      </c>
      <c r="F15" s="80" t="n">
        <f aca="false">B15*E15</f>
        <v>36000</v>
      </c>
      <c r="G15" s="80" t="n">
        <f aca="false">F15-D15</f>
        <v>27010.8468443227</v>
      </c>
      <c r="H15" s="81" t="n">
        <f aca="false">IFERROR(G15/F15,0)</f>
        <v>0.750301301231187</v>
      </c>
    </row>
    <row r="16" customFormat="false" ht="24" hidden="false" customHeight="true" outlineLevel="0" collapsed="false">
      <c r="A16" s="5" t="s">
        <v>371</v>
      </c>
      <c r="B16" s="79" t="n">
        <v>60</v>
      </c>
      <c r="C16" s="7" t="n">
        <f aca="false">'Recetas y Márgenes'!E165</f>
        <v>154.4001</v>
      </c>
      <c r="D16" s="7" t="n">
        <f aca="false">B16*C16</f>
        <v>9264.006</v>
      </c>
      <c r="E16" s="18" t="n">
        <v>800</v>
      </c>
      <c r="F16" s="80" t="n">
        <f aca="false">B16*E16</f>
        <v>48000</v>
      </c>
      <c r="G16" s="80" t="n">
        <f aca="false">F16-D16</f>
        <v>38735.994</v>
      </c>
      <c r="H16" s="81" t="n">
        <f aca="false">IFERROR(G16/F16,0)</f>
        <v>0.806999875</v>
      </c>
    </row>
    <row r="17" customFormat="false" ht="24" hidden="false" customHeight="true" outlineLevel="0" collapsed="false">
      <c r="A17" s="9" t="s">
        <v>372</v>
      </c>
      <c r="B17" s="79" t="n">
        <v>10</v>
      </c>
      <c r="C17" s="11" t="n">
        <f aca="false">'Recetas y Márgenes'!D175</f>
        <v>7658.55855855856</v>
      </c>
      <c r="D17" s="11" t="n">
        <f aca="false">B17*C17</f>
        <v>76585.5855855856</v>
      </c>
      <c r="E17" s="18" t="n">
        <v>14000</v>
      </c>
      <c r="F17" s="80" t="n">
        <f aca="false">B17*E17</f>
        <v>140000</v>
      </c>
      <c r="G17" s="80" t="n">
        <f aca="false">F17-D17</f>
        <v>63414.4144144144</v>
      </c>
      <c r="H17" s="81" t="n">
        <f aca="false">IFERROR(G17/F17,0)</f>
        <v>0.452960102960103</v>
      </c>
    </row>
    <row r="18" customFormat="false" ht="24" hidden="false" customHeight="true" outlineLevel="0" collapsed="false">
      <c r="A18" s="5" t="s">
        <v>373</v>
      </c>
      <c r="B18" s="79" t="n">
        <v>8</v>
      </c>
      <c r="C18" s="7" t="n">
        <f aca="false">'Recetas y Márgenes'!D192</f>
        <v>1552.12862998586</v>
      </c>
      <c r="D18" s="7" t="n">
        <f aca="false">B18*C18</f>
        <v>12417.0290398868</v>
      </c>
      <c r="E18" s="18" t="n">
        <v>6000</v>
      </c>
      <c r="F18" s="80" t="n">
        <f aca="false">B18*E18</f>
        <v>48000</v>
      </c>
      <c r="G18" s="80" t="n">
        <f aca="false">F18-D18</f>
        <v>35582.9709601132</v>
      </c>
      <c r="H18" s="81" t="n">
        <f aca="false">IFERROR(G18/F18,0)</f>
        <v>0.741311895002357</v>
      </c>
    </row>
    <row r="19" customFormat="false" ht="21.75" hidden="false" customHeight="true" outlineLevel="0" collapsed="false">
      <c r="A19" s="9" t="s">
        <v>374</v>
      </c>
      <c r="B19" s="79" t="n">
        <v>7</v>
      </c>
      <c r="C19" s="11" t="n">
        <f aca="false">'Recetas y Márgenes'!D205</f>
        <v>1493.55951570014</v>
      </c>
      <c r="D19" s="11" t="n">
        <f aca="false">B19*C19</f>
        <v>10454.916609901</v>
      </c>
      <c r="E19" s="18" t="n">
        <v>6000</v>
      </c>
      <c r="F19" s="80" t="n">
        <f aca="false">B19*E19</f>
        <v>42000</v>
      </c>
      <c r="G19" s="80" t="n">
        <f aca="false">F19-D19</f>
        <v>31545.083390099</v>
      </c>
      <c r="H19" s="81" t="n">
        <f aca="false">IFERROR(G19/F19,0)</f>
        <v>0.751073414049976</v>
      </c>
    </row>
    <row r="20" customFormat="false" ht="24" hidden="false" customHeight="true" outlineLevel="0" collapsed="false">
      <c r="A20" s="24" t="s">
        <v>375</v>
      </c>
      <c r="B20" s="79" t="n">
        <v>12</v>
      </c>
      <c r="C20" s="27" t="n">
        <f aca="false">'Recetas y Márgenes'!D225</f>
        <v>462.161280528053</v>
      </c>
      <c r="D20" s="27" t="n">
        <f aca="false">B20*C20</f>
        <v>5545.93536633663</v>
      </c>
      <c r="E20" s="18" t="n">
        <v>5000</v>
      </c>
      <c r="F20" s="82" t="n">
        <f aca="false">B20*E20</f>
        <v>60000</v>
      </c>
      <c r="G20" s="82" t="n">
        <f aca="false">F20-D20</f>
        <v>54454.0646336634</v>
      </c>
      <c r="H20" s="83" t="n">
        <f aca="false">IFERROR(G20/F20,0)</f>
        <v>0.907567743894389</v>
      </c>
    </row>
    <row r="21" customFormat="false" ht="24" hidden="false" customHeight="true" outlineLevel="0" collapsed="false">
      <c r="A21" s="84" t="s">
        <v>376</v>
      </c>
      <c r="B21" s="85" t="n">
        <f aca="false">SUM(B4:B20)</f>
        <v>410</v>
      </c>
      <c r="C21" s="85"/>
      <c r="D21" s="86" t="n">
        <f aca="false">SUM(D4:D20)</f>
        <v>304925.991958236</v>
      </c>
      <c r="E21" s="85"/>
      <c r="F21" s="86" t="n">
        <f aca="false">SUM(F4:F20)</f>
        <v>1192000</v>
      </c>
      <c r="G21" s="86" t="n">
        <f aca="false">SUM(G4:G20)</f>
        <v>887074.008041764</v>
      </c>
      <c r="H21" s="87" t="n">
        <f aca="false">IFERROR(G21/F21,0)</f>
        <v>0.744189604061883</v>
      </c>
    </row>
    <row r="22" customFormat="false" ht="15" hidden="false" customHeight="true" outlineLevel="0" collapsed="false">
      <c r="A22" s="10"/>
    </row>
    <row r="23" customFormat="false" ht="15" hidden="false" customHeight="true" outlineLevel="0" collapsed="false">
      <c r="A23" s="15" t="s">
        <v>377</v>
      </c>
      <c r="B23" s="58"/>
      <c r="C23" s="58"/>
      <c r="D23" s="58"/>
      <c r="E23" s="58"/>
      <c r="F23" s="58"/>
      <c r="G23" s="58"/>
      <c r="H23" s="58"/>
    </row>
    <row r="24" customFormat="false" ht="15" hidden="false" customHeight="true" outlineLevel="0" collapsed="false">
      <c r="A24" s="64" t="s">
        <v>378</v>
      </c>
      <c r="B24" s="6"/>
      <c r="C24" s="6"/>
      <c r="D24" s="6"/>
      <c r="E24" s="88" t="n">
        <f aca="false">F21</f>
        <v>1192000</v>
      </c>
      <c r="F24" s="10"/>
      <c r="G24" s="10"/>
      <c r="H24" s="10"/>
    </row>
    <row r="25" customFormat="false" ht="18" hidden="false" customHeight="true" outlineLevel="0" collapsed="false">
      <c r="A25" s="65" t="s">
        <v>379</v>
      </c>
      <c r="B25" s="10"/>
      <c r="C25" s="10"/>
      <c r="D25" s="10"/>
      <c r="E25" s="88" t="n">
        <f aca="false">D21</f>
        <v>304925.991958236</v>
      </c>
      <c r="F25" s="10"/>
      <c r="G25" s="10"/>
      <c r="H25" s="10"/>
    </row>
    <row r="26" customFormat="false" ht="21.75" hidden="false" customHeight="true" outlineLevel="0" collapsed="false">
      <c r="A26" s="64" t="s">
        <v>278</v>
      </c>
      <c r="B26" s="6"/>
      <c r="C26" s="6"/>
      <c r="D26" s="6"/>
      <c r="E26" s="89" t="n">
        <f aca="false">G21</f>
        <v>887074.008041764</v>
      </c>
      <c r="F26" s="55"/>
      <c r="G26" s="55"/>
      <c r="H26" s="55"/>
    </row>
    <row r="27" customFormat="false" ht="21.75" hidden="false" customHeight="true" outlineLevel="0" collapsed="false">
      <c r="A27" s="65" t="s">
        <v>380</v>
      </c>
      <c r="B27" s="10"/>
      <c r="C27" s="10"/>
      <c r="D27" s="10"/>
      <c r="E27" s="90" t="n">
        <f aca="false">IFERROR(G21/F21,0)</f>
        <v>0.744189604061883</v>
      </c>
      <c r="F27" s="91"/>
      <c r="G27" s="91"/>
      <c r="H27" s="91"/>
    </row>
    <row r="28" customFormat="false" ht="15" hidden="false" customHeight="true" outlineLevel="0" collapsed="false">
      <c r="A28" s="64" t="s">
        <v>381</v>
      </c>
      <c r="B28" s="6"/>
      <c r="C28" s="6"/>
      <c r="D28" s="6"/>
      <c r="E28" s="89" t="n">
        <f aca="false">G21*4</f>
        <v>3548296.03216706</v>
      </c>
      <c r="F28" s="55"/>
      <c r="G28" s="55"/>
      <c r="H28" s="55"/>
    </row>
    <row r="29" customFormat="false" ht="15" hidden="false" customHeight="true" outlineLevel="0" collapsed="false">
      <c r="A29" s="65" t="s">
        <v>382</v>
      </c>
      <c r="B29" s="10"/>
      <c r="C29" s="10"/>
      <c r="D29" s="10"/>
      <c r="E29" s="89" t="n">
        <f aca="false">G21*52</f>
        <v>46127848.4181717</v>
      </c>
      <c r="F29" s="55"/>
      <c r="G29" s="55"/>
      <c r="H29" s="55"/>
    </row>
    <row r="30" customFormat="false" ht="15" hidden="false" customHeight="true" outlineLevel="0" collapsed="false">
      <c r="A30" s="10"/>
    </row>
    <row r="31" customFormat="false" ht="18" hidden="false" customHeight="true" outlineLevel="0" collapsed="false">
      <c r="A31" s="92" t="s">
        <v>383</v>
      </c>
      <c r="B31" s="58"/>
      <c r="C31" s="58"/>
      <c r="D31" s="58"/>
      <c r="E31" s="58"/>
      <c r="F31" s="58"/>
      <c r="G31" s="58"/>
      <c r="H31" s="66"/>
    </row>
    <row r="32" customFormat="false" ht="18" hidden="false" customHeight="true" outlineLevel="0" collapsed="false">
      <c r="A32" s="5" t="s">
        <v>384</v>
      </c>
      <c r="B32" s="6"/>
      <c r="C32" s="6"/>
      <c r="D32" s="6"/>
      <c r="E32" s="89" t="n">
        <f aca="false">G20</f>
        <v>54454.0646336634</v>
      </c>
      <c r="F32" s="55"/>
      <c r="G32" s="55"/>
      <c r="H32" s="55"/>
    </row>
    <row r="33" customFormat="false" ht="15" hidden="false" customHeight="true" outlineLevel="0" collapsed="false">
      <c r="A33" s="9" t="s">
        <v>385</v>
      </c>
      <c r="B33" s="10"/>
      <c r="C33" s="10"/>
      <c r="D33" s="10"/>
      <c r="E33" s="93" t="n">
        <f aca="false">'Gastos Fijos'!D14</f>
        <v>2500</v>
      </c>
      <c r="F33" s="94"/>
      <c r="G33" s="94"/>
      <c r="H33" s="94"/>
    </row>
    <row r="34" customFormat="false" ht="15" hidden="false" customHeight="true" outlineLevel="0" collapsed="false">
      <c r="A34" s="64" t="s">
        <v>386</v>
      </c>
      <c r="B34" s="6"/>
      <c r="C34" s="6"/>
      <c r="D34" s="6"/>
      <c r="E34" s="95" t="n">
        <f aca="false">G20-'Gastos Fijos'!D14</f>
        <v>51954.0646336634</v>
      </c>
      <c r="F34" s="96"/>
      <c r="G34" s="96"/>
      <c r="H34" s="96"/>
    </row>
    <row r="35" customFormat="false" ht="15" hidden="false" customHeight="true" outlineLevel="0" collapsed="false">
      <c r="A35" s="65" t="s">
        <v>387</v>
      </c>
    </row>
    <row r="36" customFormat="false" ht="15" hidden="false" customHeight="true" outlineLevel="0" collapsed="false">
      <c r="A36" s="69" t="s">
        <v>388</v>
      </c>
      <c r="B36" s="58"/>
      <c r="C36" s="58"/>
      <c r="D36" s="58"/>
      <c r="E36" s="58"/>
      <c r="F36" s="58"/>
      <c r="G36" s="58"/>
      <c r="H36" s="5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8"/>
  </cols>
  <sheetData>
    <row r="1" customFormat="false" ht="27.75" hidden="false" customHeight="true" outlineLevel="0" collapsed="false">
      <c r="A1" s="97" t="s">
        <v>389</v>
      </c>
    </row>
    <row r="2" customFormat="false" ht="21.75" hidden="false" customHeight="true" outlineLevel="0" collapsed="false">
      <c r="A2" s="98" t="s">
        <v>390</v>
      </c>
      <c r="B2" s="98" t="s">
        <v>94</v>
      </c>
      <c r="C2" s="98" t="s">
        <v>391</v>
      </c>
    </row>
    <row r="3" customFormat="false" ht="15" hidden="false" customHeight="true" outlineLevel="0" collapsed="false">
      <c r="A3" s="24" t="s">
        <v>392</v>
      </c>
      <c r="B3" s="25" t="n">
        <v>70</v>
      </c>
      <c r="C3" s="27" t="n">
        <f aca="false">16000/SUM(B3:B10)</f>
        <v>54.6075085324232</v>
      </c>
    </row>
    <row r="4" customFormat="false" ht="15" hidden="false" customHeight="true" outlineLevel="0" collapsed="false">
      <c r="A4" s="28" t="s">
        <v>393</v>
      </c>
      <c r="B4" s="29" t="n">
        <v>32</v>
      </c>
      <c r="C4" s="31" t="n">
        <f aca="false">16000/SUM(B3:B10)</f>
        <v>54.6075085324232</v>
      </c>
    </row>
    <row r="5" customFormat="false" ht="15" hidden="false" customHeight="true" outlineLevel="0" collapsed="false">
      <c r="A5" s="24" t="s">
        <v>394</v>
      </c>
      <c r="B5" s="25" t="n">
        <v>18</v>
      </c>
      <c r="C5" s="27" t="n">
        <f aca="false">16000/SUM(B3:B10)</f>
        <v>54.6075085324232</v>
      </c>
    </row>
    <row r="6" customFormat="false" ht="15" hidden="false" customHeight="true" outlineLevel="0" collapsed="false">
      <c r="A6" s="28" t="s">
        <v>395</v>
      </c>
      <c r="B6" s="29" t="n">
        <v>11</v>
      </c>
      <c r="C6" s="31" t="n">
        <f aca="false">16000/SUM(B3:B10)</f>
        <v>54.6075085324232</v>
      </c>
    </row>
    <row r="7" customFormat="false" ht="15" hidden="false" customHeight="true" outlineLevel="0" collapsed="false">
      <c r="A7" s="24" t="s">
        <v>396</v>
      </c>
      <c r="B7" s="25" t="n">
        <v>17</v>
      </c>
      <c r="C7" s="27" t="n">
        <f aca="false">16000/SUM(B3:B10)</f>
        <v>54.6075085324232</v>
      </c>
    </row>
    <row r="8" customFormat="false" ht="15" hidden="false" customHeight="true" outlineLevel="0" collapsed="false">
      <c r="A8" s="28" t="s">
        <v>397</v>
      </c>
      <c r="B8" s="29" t="n">
        <v>61</v>
      </c>
      <c r="C8" s="31" t="n">
        <f aca="false">16000/SUM(B3:B10)</f>
        <v>54.6075085324232</v>
      </c>
    </row>
    <row r="9" customFormat="false" ht="15" hidden="false" customHeight="true" outlineLevel="0" collapsed="false">
      <c r="A9" s="24" t="s">
        <v>398</v>
      </c>
      <c r="B9" s="25" t="n">
        <v>24</v>
      </c>
      <c r="C9" s="27" t="n">
        <f aca="false">16000/SUM(B3:B10)</f>
        <v>54.6075085324232</v>
      </c>
    </row>
    <row r="10" customFormat="false" ht="15" hidden="false" customHeight="true" outlineLevel="0" collapsed="false">
      <c r="A10" s="28" t="s">
        <v>399</v>
      </c>
      <c r="B10" s="29" t="n">
        <v>60</v>
      </c>
      <c r="C10" s="31" t="n">
        <f aca="false">16000/SUM(B3:B10)</f>
        <v>54.6075085324232</v>
      </c>
    </row>
    <row r="11" customFormat="false" ht="15" hidden="false" customHeight="true" outlineLevel="0" collapsed="false">
      <c r="A11" s="99" t="s">
        <v>400</v>
      </c>
      <c r="B11" s="99" t="n">
        <v>293</v>
      </c>
      <c r="C11" s="100" t="n">
        <v>54.6075085324232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2026-02-25T21:05:15Z</dcterms:created>
  <dc:creator>openpyxl</dc:creator>
  <dc:description/>
  <dc:language>en-US</dc:language>
  <cp:lastModifiedBy/>
  <dcterms:modified xsi:type="dcterms:W3CDTF">2026-03-02T14:13:54Z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